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Invoices" sheetId="2" state="visible" r:id="rId2"/>
    <sheet name="Summary" sheetId="3" state="visible" r:id="rId3"/>
    <sheet name="Duplicates removed" sheetId="4" state="visible" r:id="rId4"/>
    <sheet name="Needs review" sheetId="5" state="visible" r:id="rId5"/>
    <sheet name="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&quot;$&quot;#,##0.00"/>
    <numFmt numFmtId="167" formatCode="mmm 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Invoices" displayName="Invoices" ref="A1:F61" headerRowCount="1">
  <autoFilter ref="A1:F61"/>
  <tableColumns count="6">
    <tableColumn id="1" name="Invoice"/>
    <tableColumn id="2" name="Date"/>
    <tableColumn id="3" name="Customer"/>
    <tableColumn id="4" name="Service"/>
    <tableColumn id="5" name="Amount"/>
    <tableColumn id="6" name="Statu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MADE-UP SAMPLE DATA for a Groundwork portfolio example. Not a real business or real customers.</t>
        </is>
      </c>
    </row>
    <row r="2">
      <c r="A2" t="inlineStr"/>
    </row>
    <row r="3">
      <c r="A3" t="inlineStr">
        <is>
          <t>Original export: 67 rows, $88,063.50 in total. Blank rows: 1. Exact duplicates removed: 5. Conflicting re-issues held for review: 1. Possible name typos flagged: 1.</t>
        </is>
      </c>
    </row>
    <row r="4">
      <c r="A4" t="inlineStr">
        <is>
          <t>Fixed: 4 date formats -&gt; real dates; amounts stored as text ($, commas, 'AUD') -&gt; numbers; stray spaces/capitals in names;</t>
        </is>
      </c>
    </row>
    <row r="5">
      <c r="A5" t="inlineStr">
        <is>
          <t>Paid? (Y/yes/Paid, N/no, blank) -&gt; Paid / Unpaid / Unknown dropdown. Blank is Unknown, never assumed Unpaid.</t>
        </is>
      </c>
    </row>
    <row r="6">
      <c r="A6" t="inlineStr">
        <is>
          <t>Nothing is deleted silently: duplicates and anything ambiguous are on their own sheets with the reason.</t>
        </is>
      </c>
    </row>
    <row r="7">
      <c r="A7" t="inlineStr">
        <is>
          <t>Summary uses whole-column formulas: rows you add on Invoices are included. Checks flags a new customer missing from Summary.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22" customWidth="1" min="3" max="3"/>
    <col width="17" customWidth="1" min="4" max="4"/>
    <col width="12" customWidth="1" min="5" max="5"/>
    <col width="10" customWidth="1" min="6" max="6"/>
  </cols>
  <sheetData>
    <row r="1">
      <c r="A1" s="2" t="inlineStr">
        <is>
          <t>Invoice</t>
        </is>
      </c>
      <c r="B1" t="inlineStr">
        <is>
          <t>Date</t>
        </is>
      </c>
      <c r="C1" t="inlineStr">
        <is>
          <t>Customer</t>
        </is>
      </c>
      <c r="D1" t="inlineStr">
        <is>
          <t>Service</t>
        </is>
      </c>
      <c r="E1" t="inlineStr">
        <is>
          <t>Amount</t>
        </is>
      </c>
      <c r="F1" t="inlineStr">
        <is>
          <t>Status</t>
        </is>
      </c>
    </row>
    <row r="2">
      <c r="A2" t="inlineStr">
        <is>
          <t>INV-1004</t>
        </is>
      </c>
      <c r="B2" s="3" t="n">
        <v>46207</v>
      </c>
      <c r="C2" t="inlineStr">
        <is>
          <t>Parkside Dental</t>
        </is>
      </c>
      <c r="D2" t="inlineStr">
        <is>
          <t>Repair</t>
        </is>
      </c>
      <c r="E2" s="4" t="n">
        <v>849.5</v>
      </c>
      <c r="F2" t="inlineStr">
        <is>
          <t>Paid</t>
        </is>
      </c>
    </row>
    <row r="3">
      <c r="A3" t="inlineStr">
        <is>
          <t>INV-1045</t>
        </is>
      </c>
      <c r="B3" s="3" t="n">
        <v>46207</v>
      </c>
      <c r="C3" t="inlineStr">
        <is>
          <t>Hill Street Cafe</t>
        </is>
      </c>
      <c r="D3" t="inlineStr">
        <is>
          <t>Parts</t>
        </is>
      </c>
      <c r="E3" s="4" t="n">
        <v>741.5</v>
      </c>
      <c r="F3" t="inlineStr">
        <is>
          <t>Paid</t>
        </is>
      </c>
    </row>
    <row r="4">
      <c r="A4" t="inlineStr">
        <is>
          <t>INV-1014</t>
        </is>
      </c>
      <c r="B4" s="3" t="n">
        <v>46208</v>
      </c>
      <c r="C4" t="inlineStr">
        <is>
          <t>Summit Physio</t>
        </is>
      </c>
      <c r="D4" t="inlineStr">
        <is>
          <t>Repair</t>
        </is>
      </c>
      <c r="E4" s="4" t="n">
        <v>1796.5</v>
      </c>
      <c r="F4" t="inlineStr">
        <is>
          <t>Unpaid</t>
        </is>
      </c>
    </row>
    <row r="5">
      <c r="A5" t="inlineStr">
        <is>
          <t>INV-1019</t>
        </is>
      </c>
      <c r="B5" s="3" t="n">
        <v>46208</v>
      </c>
      <c r="C5" t="inlineStr">
        <is>
          <t>Riverbend Vets</t>
        </is>
      </c>
      <c r="D5" t="inlineStr">
        <is>
          <t>Call-out</t>
        </is>
      </c>
      <c r="E5" s="4" t="n">
        <v>498.5</v>
      </c>
      <c r="F5" t="inlineStr">
        <is>
          <t>Paid</t>
        </is>
      </c>
    </row>
    <row r="6">
      <c r="A6" t="inlineStr">
        <is>
          <t>INV-1013</t>
        </is>
      </c>
      <c r="B6" s="3" t="n">
        <v>46209</v>
      </c>
      <c r="C6" t="inlineStr">
        <is>
          <t>Bluegum Childcare</t>
        </is>
      </c>
      <c r="D6" t="inlineStr">
        <is>
          <t>Parts</t>
        </is>
      </c>
      <c r="E6" s="4" t="n">
        <v>699</v>
      </c>
      <c r="F6" t="inlineStr">
        <is>
          <t>Unpaid</t>
        </is>
      </c>
    </row>
    <row r="7">
      <c r="A7" t="inlineStr">
        <is>
          <t>INV-1022</t>
        </is>
      </c>
      <c r="B7" s="3" t="n">
        <v>46210</v>
      </c>
      <c r="C7" t="inlineStr">
        <is>
          <t>Summit Physio</t>
        </is>
      </c>
      <c r="D7" t="inlineStr">
        <is>
          <t>Install</t>
        </is>
      </c>
      <c r="E7" s="4" t="n">
        <v>2200.5</v>
      </c>
      <c r="F7" t="inlineStr">
        <is>
          <t>Unpaid</t>
        </is>
      </c>
    </row>
    <row r="8">
      <c r="A8" t="inlineStr">
        <is>
          <t>INV-1046</t>
        </is>
      </c>
      <c r="B8" s="3" t="n">
        <v>46213</v>
      </c>
      <c r="C8" t="inlineStr">
        <is>
          <t>Riverbend Vets</t>
        </is>
      </c>
      <c r="D8" t="inlineStr">
        <is>
          <t>Monthly service</t>
        </is>
      </c>
      <c r="E8" s="4" t="n">
        <v>1905</v>
      </c>
      <c r="F8" t="inlineStr">
        <is>
          <t>Paid</t>
        </is>
      </c>
    </row>
    <row r="9">
      <c r="A9" t="inlineStr">
        <is>
          <t>INV-1052</t>
        </is>
      </c>
      <c r="B9" s="3" t="n">
        <v>46215</v>
      </c>
      <c r="C9" t="inlineStr">
        <is>
          <t>Summit Physio</t>
        </is>
      </c>
      <c r="D9" t="inlineStr">
        <is>
          <t>Parts</t>
        </is>
      </c>
      <c r="E9" s="4" t="n">
        <v>829</v>
      </c>
      <c r="F9" t="inlineStr">
        <is>
          <t>Paid</t>
        </is>
      </c>
    </row>
    <row r="10">
      <c r="A10" t="inlineStr">
        <is>
          <t>INV-1054</t>
        </is>
      </c>
      <c r="B10" s="3" t="n">
        <v>46216</v>
      </c>
      <c r="C10" t="inlineStr">
        <is>
          <t>Riverbend Vets</t>
        </is>
      </c>
      <c r="D10" t="inlineStr">
        <is>
          <t>Repair</t>
        </is>
      </c>
      <c r="E10" s="4" t="n">
        <v>172.5</v>
      </c>
      <c r="F10" t="inlineStr">
        <is>
          <t>Unpaid</t>
        </is>
      </c>
    </row>
    <row r="11">
      <c r="A11" t="inlineStr">
        <is>
          <t>INV-1058</t>
        </is>
      </c>
      <c r="B11" s="3" t="n">
        <v>46219</v>
      </c>
      <c r="C11" t="inlineStr">
        <is>
          <t>Northgate Pharmacy</t>
        </is>
      </c>
      <c r="D11" t="inlineStr">
        <is>
          <t>Install</t>
        </is>
      </c>
      <c r="E11" s="4" t="n">
        <v>1160</v>
      </c>
      <c r="F11" t="inlineStr">
        <is>
          <t>Unpaid</t>
        </is>
      </c>
    </row>
    <row r="12">
      <c r="A12" t="inlineStr">
        <is>
          <t>INV-1003</t>
        </is>
      </c>
      <c r="B12" s="3" t="n">
        <v>46221</v>
      </c>
      <c r="C12" t="inlineStr">
        <is>
          <t>Harbour Bakery</t>
        </is>
      </c>
      <c r="D12" t="inlineStr">
        <is>
          <t>Repair</t>
        </is>
      </c>
      <c r="E12" s="4" t="n">
        <v>625.5</v>
      </c>
      <c r="F12" t="inlineStr">
        <is>
          <t>Unknown</t>
        </is>
      </c>
    </row>
    <row r="13">
      <c r="A13" t="inlineStr">
        <is>
          <t>INV-1021</t>
        </is>
      </c>
      <c r="B13" s="3" t="n">
        <v>46221</v>
      </c>
      <c r="C13" t="inlineStr">
        <is>
          <t>Bluegum Childcare</t>
        </is>
      </c>
      <c r="D13" t="inlineStr">
        <is>
          <t>Install</t>
        </is>
      </c>
      <c r="E13" s="4" t="n">
        <v>2298.5</v>
      </c>
      <c r="F13" t="inlineStr">
        <is>
          <t>Unknown</t>
        </is>
      </c>
    </row>
    <row r="14">
      <c r="A14" t="inlineStr">
        <is>
          <t>INV-1057</t>
        </is>
      </c>
      <c r="B14" s="3" t="n">
        <v>46224</v>
      </c>
      <c r="C14" t="inlineStr">
        <is>
          <t>Harbour Bakery</t>
        </is>
      </c>
      <c r="D14" t="inlineStr">
        <is>
          <t>Repair</t>
        </is>
      </c>
      <c r="E14" s="4" t="n">
        <v>1557</v>
      </c>
      <c r="F14" t="inlineStr">
        <is>
          <t>Unknown</t>
        </is>
      </c>
    </row>
    <row r="15">
      <c r="A15" t="inlineStr">
        <is>
          <t>INV-1006</t>
        </is>
      </c>
      <c r="B15" s="3" t="n">
        <v>46226</v>
      </c>
      <c r="C15" t="inlineStr">
        <is>
          <t>Riverbend Vets</t>
        </is>
      </c>
      <c r="D15" t="inlineStr">
        <is>
          <t>Install</t>
        </is>
      </c>
      <c r="E15" s="4" t="n">
        <v>1079</v>
      </c>
      <c r="F15" t="inlineStr">
        <is>
          <t>Unpaid</t>
        </is>
      </c>
    </row>
    <row r="16">
      <c r="A16" t="inlineStr">
        <is>
          <t>INV-1023</t>
        </is>
      </c>
      <c r="B16" s="3" t="n">
        <v>46226</v>
      </c>
      <c r="C16" t="inlineStr">
        <is>
          <t>Summit Physio</t>
        </is>
      </c>
      <c r="D16" t="inlineStr">
        <is>
          <t>Monthly service</t>
        </is>
      </c>
      <c r="E16" s="4" t="n">
        <v>1490.5</v>
      </c>
      <c r="F16" t="inlineStr">
        <is>
          <t>Paid</t>
        </is>
      </c>
    </row>
    <row r="17">
      <c r="A17" t="inlineStr">
        <is>
          <t>INV-1047</t>
        </is>
      </c>
      <c r="B17" s="3" t="n">
        <v>46227</v>
      </c>
      <c r="C17" t="inlineStr">
        <is>
          <t>Northgate Pharmacy</t>
        </is>
      </c>
      <c r="D17" t="inlineStr">
        <is>
          <t>Install</t>
        </is>
      </c>
      <c r="E17" s="4" t="n">
        <v>2151</v>
      </c>
      <c r="F17" t="inlineStr">
        <is>
          <t>Unknown</t>
        </is>
      </c>
    </row>
    <row r="18">
      <c r="A18" t="inlineStr">
        <is>
          <t>INV-1033</t>
        </is>
      </c>
      <c r="B18" s="3" t="n">
        <v>46228</v>
      </c>
      <c r="C18" t="inlineStr">
        <is>
          <t>Hill Street Cafe</t>
        </is>
      </c>
      <c r="D18" t="inlineStr">
        <is>
          <t>Repair</t>
        </is>
      </c>
      <c r="E18" s="4" t="n">
        <v>480.5</v>
      </c>
      <c r="F18" t="inlineStr">
        <is>
          <t>Paid</t>
        </is>
      </c>
    </row>
    <row r="19">
      <c r="A19" t="inlineStr">
        <is>
          <t>INV-1041</t>
        </is>
      </c>
      <c r="B19" s="3" t="n">
        <v>46228</v>
      </c>
      <c r="C19" t="inlineStr">
        <is>
          <t>Oakridge Motors</t>
        </is>
      </c>
      <c r="D19" t="inlineStr">
        <is>
          <t>Call-out</t>
        </is>
      </c>
      <c r="E19" s="4" t="n">
        <v>823.5</v>
      </c>
      <c r="F19" t="inlineStr">
        <is>
          <t>Paid</t>
        </is>
      </c>
    </row>
    <row r="20">
      <c r="A20" t="inlineStr">
        <is>
          <t>INV-1025</t>
        </is>
      </c>
      <c r="B20" s="3" t="n">
        <v>46230</v>
      </c>
      <c r="C20" t="inlineStr">
        <is>
          <t>Bluegum Childcare</t>
        </is>
      </c>
      <c r="D20" t="inlineStr">
        <is>
          <t>Parts</t>
        </is>
      </c>
      <c r="E20" s="4" t="n">
        <v>571.5</v>
      </c>
      <c r="F20" t="inlineStr">
        <is>
          <t>Paid</t>
        </is>
      </c>
    </row>
    <row r="21">
      <c r="A21" t="inlineStr">
        <is>
          <t>INV-1059</t>
        </is>
      </c>
      <c r="B21" s="3" t="n">
        <v>46231</v>
      </c>
      <c r="C21" t="inlineStr">
        <is>
          <t>Bluegum Childcare</t>
        </is>
      </c>
      <c r="D21" t="inlineStr">
        <is>
          <t>Install</t>
        </is>
      </c>
      <c r="E21" s="4" t="n">
        <v>1167</v>
      </c>
      <c r="F21" t="inlineStr">
        <is>
          <t>Paid</t>
        </is>
      </c>
    </row>
    <row r="22">
      <c r="A22" t="inlineStr">
        <is>
          <t>INV-1010</t>
        </is>
      </c>
      <c r="B22" s="3" t="n">
        <v>46235</v>
      </c>
      <c r="C22" t="inlineStr">
        <is>
          <t>Oakridge Motors</t>
        </is>
      </c>
      <c r="D22" t="inlineStr">
        <is>
          <t>Monthly service</t>
        </is>
      </c>
      <c r="E22" s="4" t="n">
        <v>1971.5</v>
      </c>
      <c r="F22" t="inlineStr">
        <is>
          <t>Paid</t>
        </is>
      </c>
    </row>
    <row r="23">
      <c r="A23" t="inlineStr">
        <is>
          <t>INV-1043</t>
        </is>
      </c>
      <c r="B23" s="3" t="n">
        <v>46235</v>
      </c>
      <c r="C23" t="inlineStr">
        <is>
          <t>Parkside Dental</t>
        </is>
      </c>
      <c r="D23" t="inlineStr">
        <is>
          <t>Parts</t>
        </is>
      </c>
      <c r="E23" s="4" t="n">
        <v>442.5</v>
      </c>
      <c r="F23" t="inlineStr">
        <is>
          <t>Paid</t>
        </is>
      </c>
    </row>
    <row r="24">
      <c r="A24" t="inlineStr">
        <is>
          <t>INV-1044</t>
        </is>
      </c>
      <c r="B24" s="3" t="n">
        <v>46235</v>
      </c>
      <c r="C24" t="inlineStr">
        <is>
          <t>Riverbend Vets</t>
        </is>
      </c>
      <c r="D24" t="inlineStr">
        <is>
          <t>Repair</t>
        </is>
      </c>
      <c r="E24" s="4" t="n">
        <v>1469.5</v>
      </c>
      <c r="F24" t="inlineStr">
        <is>
          <t>Unknown</t>
        </is>
      </c>
    </row>
    <row r="25">
      <c r="A25" t="inlineStr">
        <is>
          <t>INV-1002</t>
        </is>
      </c>
      <c r="B25" s="3" t="n">
        <v>46236</v>
      </c>
      <c r="C25" t="inlineStr">
        <is>
          <t>Bluegum Childcare</t>
        </is>
      </c>
      <c r="D25" t="inlineStr">
        <is>
          <t>Monthly service</t>
        </is>
      </c>
      <c r="E25" s="4" t="n">
        <v>2396</v>
      </c>
      <c r="F25" t="inlineStr">
        <is>
          <t>Paid</t>
        </is>
      </c>
    </row>
    <row r="26">
      <c r="A26" t="inlineStr">
        <is>
          <t>INV-1049</t>
        </is>
      </c>
      <c r="B26" s="3" t="n">
        <v>46236</v>
      </c>
      <c r="C26" t="inlineStr">
        <is>
          <t>Parkside Dental</t>
        </is>
      </c>
      <c r="D26" t="inlineStr">
        <is>
          <t>Monthly service</t>
        </is>
      </c>
      <c r="E26" s="4" t="n">
        <v>611</v>
      </c>
      <c r="F26" t="inlineStr">
        <is>
          <t>Paid</t>
        </is>
      </c>
    </row>
    <row r="27">
      <c r="A27" t="inlineStr">
        <is>
          <t>INV-1000</t>
        </is>
      </c>
      <c r="B27" s="3" t="n">
        <v>46239</v>
      </c>
      <c r="C27" t="inlineStr">
        <is>
          <t>Parkside Dental</t>
        </is>
      </c>
      <c r="D27" t="inlineStr">
        <is>
          <t>Repair</t>
        </is>
      </c>
      <c r="E27" s="4" t="n">
        <v>1697</v>
      </c>
      <c r="F27" t="inlineStr">
        <is>
          <t>Paid</t>
        </is>
      </c>
    </row>
    <row r="28">
      <c r="A28" t="inlineStr">
        <is>
          <t>INV-1011</t>
        </is>
      </c>
      <c r="B28" s="3" t="n">
        <v>46239</v>
      </c>
      <c r="C28" t="inlineStr">
        <is>
          <t>Harbour Bakery</t>
        </is>
      </c>
      <c r="D28" t="inlineStr">
        <is>
          <t>Install</t>
        </is>
      </c>
      <c r="E28" s="4" t="n">
        <v>1094.5</v>
      </c>
      <c r="F28" t="inlineStr">
        <is>
          <t>Unpaid</t>
        </is>
      </c>
    </row>
    <row r="29">
      <c r="A29" t="inlineStr">
        <is>
          <t>INV-1020</t>
        </is>
      </c>
      <c r="B29" s="3" t="n">
        <v>46239</v>
      </c>
      <c r="C29" t="inlineStr">
        <is>
          <t>Riverbend Vets</t>
        </is>
      </c>
      <c r="D29" t="inlineStr">
        <is>
          <t>Call-out</t>
        </is>
      </c>
      <c r="E29" s="4" t="n">
        <v>2304</v>
      </c>
      <c r="F29" t="inlineStr">
        <is>
          <t>Unpaid</t>
        </is>
      </c>
    </row>
    <row r="30">
      <c r="A30" t="inlineStr">
        <is>
          <t>INV-1037</t>
        </is>
      </c>
      <c r="B30" s="3" t="n">
        <v>46239</v>
      </c>
      <c r="C30" t="inlineStr">
        <is>
          <t>Parkside Dental</t>
        </is>
      </c>
      <c r="D30" t="inlineStr">
        <is>
          <t>Call-out</t>
        </is>
      </c>
      <c r="E30" s="4" t="n">
        <v>1995</v>
      </c>
      <c r="F30" t="inlineStr">
        <is>
          <t>Paid</t>
        </is>
      </c>
    </row>
    <row r="31">
      <c r="A31" t="inlineStr">
        <is>
          <t>INV-1016</t>
        </is>
      </c>
      <c r="B31" s="3" t="n">
        <v>46240</v>
      </c>
      <c r="C31" t="inlineStr">
        <is>
          <t>Hill Street Cafe</t>
        </is>
      </c>
      <c r="D31" t="inlineStr">
        <is>
          <t>Repair</t>
        </is>
      </c>
      <c r="E31" s="4" t="n">
        <v>530.5</v>
      </c>
      <c r="F31" t="inlineStr">
        <is>
          <t>Paid</t>
        </is>
      </c>
    </row>
    <row r="32">
      <c r="A32" t="inlineStr">
        <is>
          <t>INV-1024</t>
        </is>
      </c>
      <c r="B32" s="3" t="n">
        <v>46241</v>
      </c>
      <c r="C32" t="inlineStr">
        <is>
          <t>Northgate Pharmacy</t>
        </is>
      </c>
      <c r="D32" t="inlineStr">
        <is>
          <t>Parts</t>
        </is>
      </c>
      <c r="E32" s="4" t="n">
        <v>1463</v>
      </c>
      <c r="F32" t="inlineStr">
        <is>
          <t>Unknown</t>
        </is>
      </c>
    </row>
    <row r="33">
      <c r="A33" t="inlineStr">
        <is>
          <t>INV-1015</t>
        </is>
      </c>
      <c r="B33" s="3" t="n">
        <v>46247</v>
      </c>
      <c r="C33" t="inlineStr">
        <is>
          <t>Northgate Pharmacy</t>
        </is>
      </c>
      <c r="D33" t="inlineStr">
        <is>
          <t>Monthly service</t>
        </is>
      </c>
      <c r="E33" s="4" t="n">
        <v>1694</v>
      </c>
      <c r="F33" t="inlineStr">
        <is>
          <t>Paid</t>
        </is>
      </c>
    </row>
    <row r="34">
      <c r="A34" t="inlineStr">
        <is>
          <t>INV-1030</t>
        </is>
      </c>
      <c r="B34" s="3" t="n">
        <v>46249</v>
      </c>
      <c r="C34" t="inlineStr">
        <is>
          <t>Parkside Dentl</t>
        </is>
      </c>
      <c r="D34" t="inlineStr">
        <is>
          <t>Install</t>
        </is>
      </c>
      <c r="E34" s="4" t="n">
        <v>2196.5</v>
      </c>
      <c r="F34" t="inlineStr">
        <is>
          <t>Paid</t>
        </is>
      </c>
    </row>
    <row r="35">
      <c r="A35" t="inlineStr">
        <is>
          <t>INV-1051</t>
        </is>
      </c>
      <c r="B35" s="3" t="n">
        <v>46249</v>
      </c>
      <c r="C35" t="inlineStr">
        <is>
          <t>Summit Physio</t>
        </is>
      </c>
      <c r="D35" t="inlineStr">
        <is>
          <t>Monthly service</t>
        </is>
      </c>
      <c r="E35" s="4" t="n">
        <v>94.5</v>
      </c>
      <c r="F35" t="inlineStr">
        <is>
          <t>Unpaid</t>
        </is>
      </c>
    </row>
    <row r="36">
      <c r="A36" t="inlineStr">
        <is>
          <t>INV-1009</t>
        </is>
      </c>
      <c r="B36" s="3" t="n">
        <v>46250</v>
      </c>
      <c r="C36" t="inlineStr">
        <is>
          <t>Riverbend Vets</t>
        </is>
      </c>
      <c r="D36" t="inlineStr">
        <is>
          <t>Install</t>
        </is>
      </c>
      <c r="E36" s="4" t="n">
        <v>346</v>
      </c>
      <c r="F36" t="inlineStr">
        <is>
          <t>Unknown</t>
        </is>
      </c>
    </row>
    <row r="37">
      <c r="A37" t="inlineStr">
        <is>
          <t>INV-1029</t>
        </is>
      </c>
      <c r="B37" s="3" t="n">
        <v>46251</v>
      </c>
      <c r="C37" t="inlineStr">
        <is>
          <t>Riverbend Vets</t>
        </is>
      </c>
      <c r="D37" t="inlineStr">
        <is>
          <t>Monthly service</t>
        </is>
      </c>
      <c r="E37" s="4" t="n">
        <v>1065.5</v>
      </c>
      <c r="F37" t="inlineStr">
        <is>
          <t>Unknown</t>
        </is>
      </c>
    </row>
    <row r="38">
      <c r="A38" t="inlineStr">
        <is>
          <t>INV-1048</t>
        </is>
      </c>
      <c r="B38" s="3" t="n">
        <v>46252</v>
      </c>
      <c r="C38" t="inlineStr">
        <is>
          <t>Bluegum Childcare</t>
        </is>
      </c>
      <c r="D38" t="inlineStr">
        <is>
          <t>Call-out</t>
        </is>
      </c>
      <c r="E38" s="4" t="n">
        <v>1690.5</v>
      </c>
      <c r="F38" t="inlineStr">
        <is>
          <t>Unpaid</t>
        </is>
      </c>
    </row>
    <row r="39">
      <c r="A39" t="inlineStr">
        <is>
          <t>INV-1017</t>
        </is>
      </c>
      <c r="B39" s="3" t="n">
        <v>46254</v>
      </c>
      <c r="C39" t="inlineStr">
        <is>
          <t>Bluegum Childcare</t>
        </is>
      </c>
      <c r="D39" t="inlineStr">
        <is>
          <t>Parts</t>
        </is>
      </c>
      <c r="E39" s="4" t="n">
        <v>184</v>
      </c>
      <c r="F39" t="inlineStr">
        <is>
          <t>Unpaid</t>
        </is>
      </c>
    </row>
    <row r="40">
      <c r="A40" t="inlineStr">
        <is>
          <t>INV-1005</t>
        </is>
      </c>
      <c r="B40" s="3" t="n">
        <v>46256</v>
      </c>
      <c r="C40" t="inlineStr">
        <is>
          <t>Summit Physio</t>
        </is>
      </c>
      <c r="D40" t="inlineStr">
        <is>
          <t>Parts</t>
        </is>
      </c>
      <c r="E40" s="4" t="n">
        <v>2257.5</v>
      </c>
      <c r="F40" t="inlineStr">
        <is>
          <t>Paid</t>
        </is>
      </c>
    </row>
    <row r="41">
      <c r="A41" t="inlineStr">
        <is>
          <t>INV-1055</t>
        </is>
      </c>
      <c r="B41" s="3" t="n">
        <v>46258</v>
      </c>
      <c r="C41" t="inlineStr">
        <is>
          <t>Riverbend Vets</t>
        </is>
      </c>
      <c r="D41" t="inlineStr">
        <is>
          <t>Repair</t>
        </is>
      </c>
      <c r="E41" s="4" t="n">
        <v>2104</v>
      </c>
      <c r="F41" t="inlineStr">
        <is>
          <t>Unknown</t>
        </is>
      </c>
    </row>
    <row r="42">
      <c r="A42" t="inlineStr">
        <is>
          <t>INV-1056</t>
        </is>
      </c>
      <c r="B42" s="3" t="n">
        <v>46258</v>
      </c>
      <c r="C42" t="inlineStr">
        <is>
          <t>Hill Street Cafe</t>
        </is>
      </c>
      <c r="D42" t="inlineStr">
        <is>
          <t>Monthly service</t>
        </is>
      </c>
      <c r="E42" s="4" t="n">
        <v>2150</v>
      </c>
      <c r="F42" t="inlineStr">
        <is>
          <t>Paid</t>
        </is>
      </c>
    </row>
    <row r="43">
      <c r="A43" t="inlineStr">
        <is>
          <t>INV-1031</t>
        </is>
      </c>
      <c r="B43" s="3" t="n">
        <v>46266</v>
      </c>
      <c r="C43" t="inlineStr">
        <is>
          <t>Oakridge Motors</t>
        </is>
      </c>
      <c r="D43" t="inlineStr">
        <is>
          <t>Parts</t>
        </is>
      </c>
      <c r="E43" s="4" t="n">
        <v>693</v>
      </c>
      <c r="F43" t="inlineStr">
        <is>
          <t>Unknown</t>
        </is>
      </c>
    </row>
    <row r="44">
      <c r="A44" t="inlineStr">
        <is>
          <t>INV-1007</t>
        </is>
      </c>
      <c r="B44" s="3" t="n">
        <v>46268</v>
      </c>
      <c r="C44" t="inlineStr">
        <is>
          <t>Oakridge Motors</t>
        </is>
      </c>
      <c r="D44" t="inlineStr">
        <is>
          <t>Install</t>
        </is>
      </c>
      <c r="E44" s="4" t="n">
        <v>563.5</v>
      </c>
      <c r="F44" t="inlineStr">
        <is>
          <t>Paid</t>
        </is>
      </c>
    </row>
    <row r="45">
      <c r="A45" t="inlineStr">
        <is>
          <t>INV-1008</t>
        </is>
      </c>
      <c r="B45" s="3" t="n">
        <v>46268</v>
      </c>
      <c r="C45" t="inlineStr">
        <is>
          <t>Summit Physio</t>
        </is>
      </c>
      <c r="D45" t="inlineStr">
        <is>
          <t>Monthly service</t>
        </is>
      </c>
      <c r="E45" s="4" t="n">
        <v>2365.5</v>
      </c>
      <c r="F45" t="inlineStr">
        <is>
          <t>Paid</t>
        </is>
      </c>
    </row>
    <row r="46">
      <c r="A46" t="inlineStr">
        <is>
          <t>INV-1028</t>
        </is>
      </c>
      <c r="B46" s="3" t="n">
        <v>46269</v>
      </c>
      <c r="C46" t="inlineStr">
        <is>
          <t>Harbour Bakery</t>
        </is>
      </c>
      <c r="D46" t="inlineStr">
        <is>
          <t>Parts</t>
        </is>
      </c>
      <c r="E46" s="4" t="n">
        <v>2236</v>
      </c>
      <c r="F46" t="inlineStr">
        <is>
          <t>Paid</t>
        </is>
      </c>
    </row>
    <row r="47">
      <c r="A47" t="inlineStr">
        <is>
          <t>INV-1001</t>
        </is>
      </c>
      <c r="B47" s="3" t="n">
        <v>46272</v>
      </c>
      <c r="C47" t="inlineStr">
        <is>
          <t>Harbour Bakery</t>
        </is>
      </c>
      <c r="D47" t="inlineStr">
        <is>
          <t>Monthly service</t>
        </is>
      </c>
      <c r="E47" s="4" t="n">
        <v>233</v>
      </c>
      <c r="F47" t="inlineStr">
        <is>
          <t>Paid</t>
        </is>
      </c>
    </row>
    <row r="48">
      <c r="A48" t="inlineStr">
        <is>
          <t>INV-1035</t>
        </is>
      </c>
      <c r="B48" s="3" t="n">
        <v>46272</v>
      </c>
      <c r="C48" t="inlineStr">
        <is>
          <t>Harbour Bakery</t>
        </is>
      </c>
      <c r="D48" t="inlineStr">
        <is>
          <t>Parts</t>
        </is>
      </c>
      <c r="E48" s="4" t="n">
        <v>1913</v>
      </c>
      <c r="F48" t="inlineStr">
        <is>
          <t>Paid</t>
        </is>
      </c>
    </row>
    <row r="49">
      <c r="A49" t="inlineStr">
        <is>
          <t>INV-1053</t>
        </is>
      </c>
      <c r="B49" s="3" t="n">
        <v>46272</v>
      </c>
      <c r="C49" t="inlineStr">
        <is>
          <t>Parkside Dental</t>
        </is>
      </c>
      <c r="D49" t="inlineStr">
        <is>
          <t>Install</t>
        </is>
      </c>
      <c r="E49" s="4" t="n">
        <v>1096</v>
      </c>
      <c r="F49" t="inlineStr">
        <is>
          <t>Paid</t>
        </is>
      </c>
    </row>
    <row r="50">
      <c r="A50" t="inlineStr">
        <is>
          <t>INV-1036</t>
        </is>
      </c>
      <c r="B50" s="3" t="n">
        <v>46273</v>
      </c>
      <c r="C50" t="inlineStr">
        <is>
          <t>Bluegum Childcare</t>
        </is>
      </c>
      <c r="D50" t="inlineStr">
        <is>
          <t>Parts</t>
        </is>
      </c>
      <c r="E50" s="4" t="n">
        <v>1834</v>
      </c>
      <c r="F50" t="inlineStr">
        <is>
          <t>Paid</t>
        </is>
      </c>
    </row>
    <row r="51">
      <c r="A51" t="inlineStr">
        <is>
          <t>INV-1012</t>
        </is>
      </c>
      <c r="B51" s="3" t="n">
        <v>46274</v>
      </c>
      <c r="C51" t="inlineStr">
        <is>
          <t>Riverbend Vets</t>
        </is>
      </c>
      <c r="D51" t="inlineStr">
        <is>
          <t>Call-out</t>
        </is>
      </c>
      <c r="E51" s="4" t="n">
        <v>640.5</v>
      </c>
      <c r="F51" t="inlineStr">
        <is>
          <t>Paid</t>
        </is>
      </c>
    </row>
    <row r="52">
      <c r="A52" t="inlineStr">
        <is>
          <t>INV-1040</t>
        </is>
      </c>
      <c r="B52" s="3" t="n">
        <v>46275</v>
      </c>
      <c r="C52" t="inlineStr">
        <is>
          <t>Parkside Dental</t>
        </is>
      </c>
      <c r="D52" t="inlineStr">
        <is>
          <t>Parts</t>
        </is>
      </c>
      <c r="E52" s="4" t="n">
        <v>2178</v>
      </c>
      <c r="F52" t="inlineStr">
        <is>
          <t>Unpaid</t>
        </is>
      </c>
    </row>
    <row r="53">
      <c r="A53" t="inlineStr">
        <is>
          <t>INV-1018</t>
        </is>
      </c>
      <c r="B53" s="3" t="n">
        <v>46277</v>
      </c>
      <c r="C53" t="inlineStr">
        <is>
          <t>Parkside Dental</t>
        </is>
      </c>
      <c r="D53" t="inlineStr">
        <is>
          <t>Install</t>
        </is>
      </c>
      <c r="E53" s="4" t="n">
        <v>2022</v>
      </c>
      <c r="F53" t="inlineStr">
        <is>
          <t>Unpaid</t>
        </is>
      </c>
    </row>
    <row r="54">
      <c r="A54" t="inlineStr">
        <is>
          <t>INV-1039</t>
        </is>
      </c>
      <c r="B54" s="3" t="n">
        <v>46277</v>
      </c>
      <c r="C54" t="inlineStr">
        <is>
          <t>Northgate Pharmacy</t>
        </is>
      </c>
      <c r="D54" t="inlineStr">
        <is>
          <t>Parts</t>
        </is>
      </c>
      <c r="E54" s="4" t="n">
        <v>159.5</v>
      </c>
      <c r="F54" t="inlineStr">
        <is>
          <t>Paid</t>
        </is>
      </c>
    </row>
    <row r="55">
      <c r="A55" t="inlineStr">
        <is>
          <t>INV-1026</t>
        </is>
      </c>
      <c r="B55" s="3" t="n">
        <v>46278</v>
      </c>
      <c r="C55" t="inlineStr">
        <is>
          <t>Parkside Dental</t>
        </is>
      </c>
      <c r="D55" t="inlineStr">
        <is>
          <t>Monthly service</t>
        </is>
      </c>
      <c r="E55" s="4" t="n">
        <v>1977.5</v>
      </c>
      <c r="F55" t="inlineStr">
        <is>
          <t>Paid</t>
        </is>
      </c>
    </row>
    <row r="56">
      <c r="A56" t="inlineStr">
        <is>
          <t>INV-1038</t>
        </is>
      </c>
      <c r="B56" s="3" t="n">
        <v>46279</v>
      </c>
      <c r="C56" t="inlineStr">
        <is>
          <t>Summit Physio</t>
        </is>
      </c>
      <c r="D56" t="inlineStr">
        <is>
          <t>Parts</t>
        </is>
      </c>
      <c r="E56" s="4" t="n">
        <v>2191.5</v>
      </c>
      <c r="F56" t="inlineStr">
        <is>
          <t>Paid</t>
        </is>
      </c>
    </row>
    <row r="57">
      <c r="A57" t="inlineStr">
        <is>
          <t>INV-1027</t>
        </is>
      </c>
      <c r="B57" s="3" t="n">
        <v>46280</v>
      </c>
      <c r="C57" t="inlineStr">
        <is>
          <t>Summit Physio</t>
        </is>
      </c>
      <c r="D57" t="inlineStr">
        <is>
          <t>Monthly service</t>
        </is>
      </c>
      <c r="E57" s="4" t="n">
        <v>678.5</v>
      </c>
      <c r="F57" t="inlineStr">
        <is>
          <t>Unknown</t>
        </is>
      </c>
    </row>
    <row r="58">
      <c r="A58" t="inlineStr">
        <is>
          <t>INV-1032</t>
        </is>
      </c>
      <c r="B58" s="3" t="n">
        <v>46282</v>
      </c>
      <c r="C58" t="inlineStr">
        <is>
          <t>Parkside Dental</t>
        </is>
      </c>
      <c r="D58" t="inlineStr">
        <is>
          <t>Call-out</t>
        </is>
      </c>
      <c r="E58" s="4" t="n">
        <v>2355.5</v>
      </c>
      <c r="F58" t="inlineStr">
        <is>
          <t>Unpaid</t>
        </is>
      </c>
    </row>
    <row r="59">
      <c r="A59" t="inlineStr">
        <is>
          <t>INV-1034</t>
        </is>
      </c>
      <c r="B59" s="3" t="n">
        <v>46282</v>
      </c>
      <c r="C59" t="inlineStr">
        <is>
          <t>Northgate Pharmacy</t>
        </is>
      </c>
      <c r="D59" t="inlineStr">
        <is>
          <t>Repair</t>
        </is>
      </c>
      <c r="E59" s="4" t="n">
        <v>896.5</v>
      </c>
      <c r="F59" t="inlineStr">
        <is>
          <t>Unpaid</t>
        </is>
      </c>
    </row>
    <row r="60">
      <c r="A60" t="inlineStr">
        <is>
          <t>INV-1042</t>
        </is>
      </c>
      <c r="B60" s="3" t="n">
        <v>46284</v>
      </c>
      <c r="C60" t="inlineStr">
        <is>
          <t>Parkside Dental</t>
        </is>
      </c>
      <c r="D60" t="inlineStr">
        <is>
          <t>Install</t>
        </is>
      </c>
      <c r="E60" s="4" t="n">
        <v>2105.5</v>
      </c>
      <c r="F60" t="inlineStr">
        <is>
          <t>Paid</t>
        </is>
      </c>
    </row>
    <row r="61">
      <c r="A61" t="inlineStr">
        <is>
          <t>INV-1050</t>
        </is>
      </c>
      <c r="B61" s="3" t="n">
        <v>46292</v>
      </c>
      <c r="C61" t="inlineStr">
        <is>
          <t>Bluegum Childcare</t>
        </is>
      </c>
      <c r="D61" t="inlineStr">
        <is>
          <t>Call-out</t>
        </is>
      </c>
      <c r="E61" s="4" t="n">
        <v>1640.5</v>
      </c>
      <c r="F61" t="inlineStr">
        <is>
          <t>Paid</t>
        </is>
      </c>
    </row>
  </sheetData>
  <dataValidations count="1">
    <dataValidation sqref="F2:F561" showDropDown="0" showInputMessage="0" showErrorMessage="0" allowBlank="0" type="list">
      <formula1>"Paid,Unpaid,Unknown"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2" t="inlineStr">
        <is>
          <t>Summary (live: add or edit rows on Invoices and this updates; new customers need a row here, and Checks flags it)</t>
        </is>
      </c>
    </row>
    <row r="3">
      <c r="A3" t="inlineStr">
        <is>
          <t>Customer</t>
        </is>
      </c>
      <c r="B3" t="inlineStr">
        <is>
          <t>Invoiced</t>
        </is>
      </c>
      <c r="C3" t="inlineStr">
        <is>
          <t>Unpaid</t>
        </is>
      </c>
      <c r="D3" t="inlineStr">
        <is>
          <t>Status unknown</t>
        </is>
      </c>
      <c r="E3" t="inlineStr">
        <is>
          <t>Jobs</t>
        </is>
      </c>
    </row>
    <row r="4">
      <c r="A4" t="inlineStr">
        <is>
          <t>Bluegum Childcare</t>
        </is>
      </c>
      <c r="B4" s="4">
        <f>SUMIFS(Invoices!$E:$E,Invoices!$C:$C,A4)</f>
        <v/>
      </c>
      <c r="C4" s="4">
        <f>SUMIFS(Invoices!$E:$E,Invoices!$C:$C,A4,Invoices!$F:$F,"Unpaid")</f>
        <v/>
      </c>
      <c r="D4" s="4">
        <f>SUMIFS(Invoices!$E:$E,Invoices!$C:$C,A4,Invoices!$F:$F,"Unknown")</f>
        <v/>
      </c>
      <c r="E4">
        <f>COUNTIF(Invoices!$C:$C,A4)</f>
        <v/>
      </c>
    </row>
    <row r="5">
      <c r="A5" t="inlineStr">
        <is>
          <t>Harbour Bakery</t>
        </is>
      </c>
      <c r="B5" s="4">
        <f>SUMIFS(Invoices!$E:$E,Invoices!$C:$C,A5)</f>
        <v/>
      </c>
      <c r="C5" s="4">
        <f>SUMIFS(Invoices!$E:$E,Invoices!$C:$C,A5,Invoices!$F:$F,"Unpaid")</f>
        <v/>
      </c>
      <c r="D5" s="4">
        <f>SUMIFS(Invoices!$E:$E,Invoices!$C:$C,A5,Invoices!$F:$F,"Unknown")</f>
        <v/>
      </c>
      <c r="E5">
        <f>COUNTIF(Invoices!$C:$C,A5)</f>
        <v/>
      </c>
    </row>
    <row r="6">
      <c r="A6" t="inlineStr">
        <is>
          <t>Hill Street Cafe</t>
        </is>
      </c>
      <c r="B6" s="4">
        <f>SUMIFS(Invoices!$E:$E,Invoices!$C:$C,A6)</f>
        <v/>
      </c>
      <c r="C6" s="4">
        <f>SUMIFS(Invoices!$E:$E,Invoices!$C:$C,A6,Invoices!$F:$F,"Unpaid")</f>
        <v/>
      </c>
      <c r="D6" s="4">
        <f>SUMIFS(Invoices!$E:$E,Invoices!$C:$C,A6,Invoices!$F:$F,"Unknown")</f>
        <v/>
      </c>
      <c r="E6">
        <f>COUNTIF(Invoices!$C:$C,A6)</f>
        <v/>
      </c>
    </row>
    <row r="7">
      <c r="A7" t="inlineStr">
        <is>
          <t>Northgate Pharmacy</t>
        </is>
      </c>
      <c r="B7" s="4">
        <f>SUMIFS(Invoices!$E:$E,Invoices!$C:$C,A7)</f>
        <v/>
      </c>
      <c r="C7" s="4">
        <f>SUMIFS(Invoices!$E:$E,Invoices!$C:$C,A7,Invoices!$F:$F,"Unpaid")</f>
        <v/>
      </c>
      <c r="D7" s="4">
        <f>SUMIFS(Invoices!$E:$E,Invoices!$C:$C,A7,Invoices!$F:$F,"Unknown")</f>
        <v/>
      </c>
      <c r="E7">
        <f>COUNTIF(Invoices!$C:$C,A7)</f>
        <v/>
      </c>
    </row>
    <row r="8">
      <c r="A8" t="inlineStr">
        <is>
          <t>Oakridge Motors</t>
        </is>
      </c>
      <c r="B8" s="4">
        <f>SUMIFS(Invoices!$E:$E,Invoices!$C:$C,A8)</f>
        <v/>
      </c>
      <c r="C8" s="4">
        <f>SUMIFS(Invoices!$E:$E,Invoices!$C:$C,A8,Invoices!$F:$F,"Unpaid")</f>
        <v/>
      </c>
      <c r="D8" s="4">
        <f>SUMIFS(Invoices!$E:$E,Invoices!$C:$C,A8,Invoices!$F:$F,"Unknown")</f>
        <v/>
      </c>
      <c r="E8">
        <f>COUNTIF(Invoices!$C:$C,A8)</f>
        <v/>
      </c>
    </row>
    <row r="9">
      <c r="A9" t="inlineStr">
        <is>
          <t>Parkside Dental</t>
        </is>
      </c>
      <c r="B9" s="4">
        <f>SUMIFS(Invoices!$E:$E,Invoices!$C:$C,A9)</f>
        <v/>
      </c>
      <c r="C9" s="4">
        <f>SUMIFS(Invoices!$E:$E,Invoices!$C:$C,A9,Invoices!$F:$F,"Unpaid")</f>
        <v/>
      </c>
      <c r="D9" s="4">
        <f>SUMIFS(Invoices!$E:$E,Invoices!$C:$C,A9,Invoices!$F:$F,"Unknown")</f>
        <v/>
      </c>
      <c r="E9">
        <f>COUNTIF(Invoices!$C:$C,A9)</f>
        <v/>
      </c>
    </row>
    <row r="10">
      <c r="A10" t="inlineStr">
        <is>
          <t>Parkside Dentl</t>
        </is>
      </c>
      <c r="B10" s="4">
        <f>SUMIFS(Invoices!$E:$E,Invoices!$C:$C,A10)</f>
        <v/>
      </c>
      <c r="C10" s="4">
        <f>SUMIFS(Invoices!$E:$E,Invoices!$C:$C,A10,Invoices!$F:$F,"Unpaid")</f>
        <v/>
      </c>
      <c r="D10" s="4">
        <f>SUMIFS(Invoices!$E:$E,Invoices!$C:$C,A10,Invoices!$F:$F,"Unknown")</f>
        <v/>
      </c>
      <c r="E10">
        <f>COUNTIF(Invoices!$C:$C,A10)</f>
        <v/>
      </c>
    </row>
    <row r="11">
      <c r="A11" t="inlineStr">
        <is>
          <t>Riverbend Vets</t>
        </is>
      </c>
      <c r="B11" s="4">
        <f>SUMIFS(Invoices!$E:$E,Invoices!$C:$C,A11)</f>
        <v/>
      </c>
      <c r="C11" s="4">
        <f>SUMIFS(Invoices!$E:$E,Invoices!$C:$C,A11,Invoices!$F:$F,"Unpaid")</f>
        <v/>
      </c>
      <c r="D11" s="4">
        <f>SUMIFS(Invoices!$E:$E,Invoices!$C:$C,A11,Invoices!$F:$F,"Unknown")</f>
        <v/>
      </c>
      <c r="E11">
        <f>COUNTIF(Invoices!$C:$C,A11)</f>
        <v/>
      </c>
    </row>
    <row r="12">
      <c r="A12" t="inlineStr">
        <is>
          <t>Summit Physio</t>
        </is>
      </c>
      <c r="B12" s="4">
        <f>SUMIFS(Invoices!$E:$E,Invoices!$C:$C,A12)</f>
        <v/>
      </c>
      <c r="C12" s="4">
        <f>SUMIFS(Invoices!$E:$E,Invoices!$C:$C,A12,Invoices!$F:$F,"Unpaid")</f>
        <v/>
      </c>
      <c r="D12" s="4">
        <f>SUMIFS(Invoices!$E:$E,Invoices!$C:$C,A12,Invoices!$F:$F,"Unknown")</f>
        <v/>
      </c>
      <c r="E12">
        <f>COUNTIF(Invoices!$C:$C,A12)</f>
        <v/>
      </c>
    </row>
    <row r="13">
      <c r="A13" t="inlineStr">
        <is>
          <t>Total</t>
        </is>
      </c>
      <c r="B13" s="4">
        <f>SUM(B4:B12)</f>
        <v/>
      </c>
      <c r="C13" s="4">
        <f>SUM(C4:C12)</f>
        <v/>
      </c>
      <c r="D13" s="4">
        <f>SUM(D4:D12)</f>
        <v/>
      </c>
      <c r="E13">
        <f>SUM(E4:E12)</f>
        <v/>
      </c>
    </row>
    <row r="14">
      <c r="B14" s="4" t="n"/>
      <c r="C14" s="4" t="n"/>
      <c r="D14" s="4" t="n"/>
    </row>
    <row r="15">
      <c r="A15" t="inlineStr">
        <is>
          <t>Month</t>
        </is>
      </c>
      <c r="B15" s="4" t="inlineStr">
        <is>
          <t>Invoiced</t>
        </is>
      </c>
      <c r="C15" s="4" t="n"/>
      <c r="D15" s="4" t="n"/>
    </row>
    <row r="16">
      <c r="A16" s="5" t="n">
        <v>46204</v>
      </c>
      <c r="B16" s="4">
        <f>SUMIFS(Invoices!$E:$E,Invoices!$B:$B,"&gt;="&amp;A16,Invoices!$B:$B,"&lt;"&amp;EDATE(A16,1))</f>
        <v/>
      </c>
      <c r="C16" s="4" t="n"/>
      <c r="D16" s="4" t="n"/>
    </row>
    <row r="17">
      <c r="A17" s="5" t="n">
        <v>46235</v>
      </c>
      <c r="B17" s="4">
        <f>SUMIFS(Invoices!$E:$E,Invoices!$B:$B,"&gt;="&amp;A17,Invoices!$B:$B,"&lt;"&amp;EDATE(A17,1))</f>
        <v/>
      </c>
      <c r="C17" s="4" t="n"/>
      <c r="D17" s="4" t="n"/>
    </row>
    <row r="18">
      <c r="A18" s="5" t="n">
        <v>46266</v>
      </c>
      <c r="B18" s="4">
        <f>SUMIFS(Invoices!$E:$E,Invoices!$B:$B,"&gt;="&amp;A18,Invoices!$B:$B,"&lt;"&amp;EDATE(A18,1))</f>
        <v/>
      </c>
      <c r="C18" s="4" t="n"/>
      <c r="D18" s="4" t="n"/>
    </row>
    <row r="19">
      <c r="A19" s="5" t="n">
        <v>46296</v>
      </c>
      <c r="B19" s="4">
        <f>SUMIFS(Invoices!$E:$E,Invoices!$B:$B,"&gt;="&amp;A19,Invoices!$B:$B,"&lt;"&amp;EDATE(A19,1))</f>
        <v/>
      </c>
      <c r="C19" s="4" t="n"/>
      <c r="D19" s="4" t="n"/>
    </row>
    <row r="20">
      <c r="A20" s="5" t="n">
        <v>46327</v>
      </c>
      <c r="B20" s="4">
        <f>SUMIFS(Invoices!$E:$E,Invoices!$B:$B,"&gt;="&amp;A20,Invoices!$B:$B,"&lt;"&amp;EDATE(A20,1))</f>
        <v/>
      </c>
      <c r="C20" s="4" t="n"/>
      <c r="D20" s="4" t="n"/>
    </row>
    <row r="21">
      <c r="A21" s="5" t="n">
        <v>46357</v>
      </c>
      <c r="B21" s="4">
        <f>SUMIFS(Invoices!$E:$E,Invoices!$B:$B,"&gt;="&amp;A21,Invoices!$B:$B,"&lt;"&amp;EDATE(A21,1))</f>
        <v/>
      </c>
      <c r="C21" s="4" t="n"/>
      <c r="D21" s="4" t="n"/>
    </row>
    <row r="22">
      <c r="A22" s="5" t="n">
        <v>46388</v>
      </c>
      <c r="B22" s="4">
        <f>SUMIFS(Invoices!$E:$E,Invoices!$B:$B,"&gt;="&amp;A22,Invoices!$B:$B,"&lt;"&amp;EDATE(A22,1))</f>
        <v/>
      </c>
      <c r="C22" s="4" t="n"/>
      <c r="D22" s="4" t="n"/>
    </row>
    <row r="23">
      <c r="A23" s="5" t="n">
        <v>46419</v>
      </c>
      <c r="B23" s="4">
        <f>SUMIFS(Invoices!$E:$E,Invoices!$B:$B,"&gt;="&amp;A23,Invoices!$B:$B,"&lt;"&amp;EDATE(A23,1))</f>
        <v/>
      </c>
      <c r="C23" s="4" t="n"/>
      <c r="D23" s="4" t="n"/>
    </row>
    <row r="24">
      <c r="A24" s="5" t="n">
        <v>46447</v>
      </c>
      <c r="B24" s="4">
        <f>SUMIFS(Invoices!$E:$E,Invoices!$B:$B,"&gt;="&amp;A24,Invoices!$B:$B,"&lt;"&amp;EDATE(A24,1))</f>
        <v/>
      </c>
      <c r="C24" s="4" t="n"/>
      <c r="D24" s="4" t="n"/>
    </row>
    <row r="25">
      <c r="A25" s="5" t="n">
        <v>46478</v>
      </c>
      <c r="B25" s="4">
        <f>SUMIFS(Invoices!$E:$E,Invoices!$B:$B,"&gt;="&amp;A25,Invoices!$B:$B,"&lt;"&amp;EDATE(A25,1))</f>
        <v/>
      </c>
      <c r="C25" s="4" t="n"/>
      <c r="D25" s="4" t="n"/>
    </row>
    <row r="26">
      <c r="A26" s="5" t="n">
        <v>46508</v>
      </c>
      <c r="B26" s="4">
        <f>SUMIFS(Invoices!$E:$E,Invoices!$B:$B,"&gt;="&amp;A26,Invoices!$B:$B,"&lt;"&amp;EDATE(A26,1))</f>
        <v/>
      </c>
      <c r="C26" s="4" t="n"/>
      <c r="D26" s="4" t="n"/>
    </row>
    <row r="27">
      <c r="A27" s="5" t="n">
        <v>46539</v>
      </c>
      <c r="B27" s="4">
        <f>SUMIFS(Invoices!$E:$E,Invoices!$B:$B,"&gt;="&amp;A27,Invoices!$B:$B,"&lt;"&amp;EDATE(A27,1))</f>
        <v/>
      </c>
      <c r="C27" s="4" t="n"/>
      <c r="D2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34" customWidth="1" min="3" max="3"/>
    <col width="100" customWidth="1" min="5" max="5"/>
  </cols>
  <sheetData>
    <row r="1">
      <c r="A1" s="2" t="inlineStr">
        <is>
          <t>Invoice</t>
        </is>
      </c>
      <c r="B1" t="inlineStr">
        <is>
          <t>Date</t>
        </is>
      </c>
      <c r="C1" t="inlineStr">
        <is>
          <t>Customer</t>
        </is>
      </c>
      <c r="D1" t="inlineStr">
        <is>
          <t>Amount</t>
        </is>
      </c>
      <c r="E1" t="inlineStr">
        <is>
          <t>Why removed</t>
        </is>
      </c>
    </row>
    <row r="2">
      <c r="A2" t="inlineStr">
        <is>
          <t>INV-1030</t>
        </is>
      </c>
      <c r="B2" s="6" t="n">
        <v>46249</v>
      </c>
      <c r="C2" t="inlineStr">
        <is>
          <t>Parkside Dentl</t>
        </is>
      </c>
      <c r="D2" t="n">
        <v>2196.5</v>
      </c>
      <c r="E2" t="inlineStr">
        <is>
          <t>Exact repeat of an earlier row</t>
        </is>
      </c>
    </row>
    <row r="3">
      <c r="A3" t="inlineStr">
        <is>
          <t>INV-1058</t>
        </is>
      </c>
      <c r="B3" s="6" t="n">
        <v>46219</v>
      </c>
      <c r="C3" t="inlineStr">
        <is>
          <t>Northgate Pharmacy</t>
        </is>
      </c>
      <c r="D3" t="n">
        <v>1160</v>
      </c>
      <c r="E3" t="inlineStr">
        <is>
          <t>Exact repeat of an earlier row</t>
        </is>
      </c>
    </row>
    <row r="4">
      <c r="A4" t="inlineStr">
        <is>
          <t>INV-1043</t>
        </is>
      </c>
      <c r="B4" s="6" t="n">
        <v>46235</v>
      </c>
      <c r="C4" t="inlineStr">
        <is>
          <t>Parkside Dental</t>
        </is>
      </c>
      <c r="D4" t="n">
        <v>442.5</v>
      </c>
      <c r="E4" t="inlineStr">
        <is>
          <t>Exact repeat of an earlier row</t>
        </is>
      </c>
    </row>
    <row r="5">
      <c r="A5" t="inlineStr">
        <is>
          <t>INV-1018</t>
        </is>
      </c>
      <c r="B5" s="6" t="n">
        <v>46277</v>
      </c>
      <c r="C5" t="inlineStr">
        <is>
          <t>Parkside Dental</t>
        </is>
      </c>
      <c r="D5" t="n">
        <v>2022</v>
      </c>
      <c r="E5" t="inlineStr">
        <is>
          <t>Exact repeat of an earlier row</t>
        </is>
      </c>
    </row>
    <row r="6">
      <c r="A6" t="inlineStr">
        <is>
          <t>INV-1049</t>
        </is>
      </c>
      <c r="B6" s="6" t="n">
        <v>46236</v>
      </c>
      <c r="C6" t="inlineStr">
        <is>
          <t>Parkside Dental</t>
        </is>
      </c>
      <c r="D6" t="n">
        <v>611</v>
      </c>
      <c r="E6" t="inlineStr">
        <is>
          <t>Exact repeat of an earlier row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34" customWidth="1" min="3" max="3"/>
    <col width="100" customWidth="1" min="5" max="5"/>
  </cols>
  <sheetData>
    <row r="1">
      <c r="A1" s="2" t="inlineStr">
        <is>
          <t>Invoice</t>
        </is>
      </c>
      <c r="B1" t="inlineStr">
        <is>
          <t>Date</t>
        </is>
      </c>
      <c r="C1" t="inlineStr">
        <is>
          <t>Customer</t>
        </is>
      </c>
      <c r="D1" t="inlineStr">
        <is>
          <t>Amount</t>
        </is>
      </c>
      <c r="E1" t="inlineStr">
        <is>
          <t>Issue</t>
        </is>
      </c>
    </row>
    <row r="2">
      <c r="A2" t="inlineStr">
        <is>
          <t>INV-1012</t>
        </is>
      </c>
      <c r="B2" s="6" t="n">
        <v>46274</v>
      </c>
      <c r="C2" t="inlineStr">
        <is>
          <t>Riverbend Vets</t>
        </is>
      </c>
      <c r="D2" t="n">
        <v>999</v>
      </c>
      <c r="E2" t="inlineStr">
        <is>
          <t>Same invoice number as a kept row with $640.50: is this a corrected re-issue? Not counted in totals until you decide.</t>
        </is>
      </c>
    </row>
    <row r="3">
      <c r="A3" t="inlineStr"/>
      <c r="B3" t="inlineStr"/>
      <c r="C3" t="inlineStr">
        <is>
          <t>Parkside Dental / Parkside Dentl</t>
        </is>
      </c>
      <c r="E3" t="inlineStr">
        <is>
          <t>Names look like a typo of each other: not merged. Fix the spelling on Invoices if they're the same customer.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64" customWidth="1" min="1" max="1"/>
    <col width="15" customWidth="1" min="2" max="2"/>
    <col width="15" customWidth="1" min="3" max="3"/>
  </cols>
  <sheetData>
    <row r="1">
      <c r="A1" s="2" t="inlineStr">
        <is>
          <t>Check</t>
        </is>
      </c>
      <c r="B1" t="inlineStr">
        <is>
          <t>Expected</t>
        </is>
      </c>
      <c r="C1" t="inlineStr">
        <is>
          <t>Actual</t>
        </is>
      </c>
      <c r="D1" t="inlineStr">
        <is>
          <t>OK?</t>
        </is>
      </c>
    </row>
    <row r="2">
      <c r="A2" s="2" t="inlineStr">
        <is>
          <t>LIVE (stay valid as you add rows)</t>
        </is>
      </c>
    </row>
    <row r="3">
      <c r="A3" t="inlineStr">
        <is>
          <t>Summary by customer covers every invoice</t>
        </is>
      </c>
      <c r="B3" s="4">
        <f>SUM(Invoices!$E:$E)</f>
        <v/>
      </c>
      <c r="C3" s="4">
        <f>Summary!B13</f>
        <v/>
      </c>
      <c r="D3">
        <f>IF(ABS(B3-C3)&lt;0.005,"OK","CHECK")</f>
        <v/>
      </c>
    </row>
    <row r="4">
      <c r="A4" t="inlineStr">
        <is>
          <t>Summary by month covers every invoice</t>
        </is>
      </c>
      <c r="B4" s="4">
        <f>SUM(Invoices!$E:$E)</f>
        <v/>
      </c>
      <c r="C4" s="4">
        <f>SUM(Summary!B16:B27)</f>
        <v/>
      </c>
      <c r="D4">
        <f>IF(ABS(B4-C4)&lt;0.005,"OK","CHECK")</f>
        <v/>
      </c>
    </row>
    <row r="5">
      <c r="A5" t="inlineStr">
        <is>
          <t>Every status is Paid, Unpaid or Unknown</t>
        </is>
      </c>
      <c r="B5">
        <f>COUNTA(Invoices!$A:$A)-1</f>
        <v/>
      </c>
      <c r="C5">
        <f>COUNTIF(Invoices!$F:$F,"Paid")+COUNTIF(Invoices!$F:$F,"Unpaid")+COUNTIF(Invoices!$F:$F,"Unknown")</f>
        <v/>
      </c>
      <c r="D5">
        <f>IF(ABS(B5-C5)&lt;0.005,"OK","CHECK")</f>
        <v/>
      </c>
    </row>
    <row r="6">
      <c r="A6" t="inlineStr">
        <is>
          <t>No invoice number appears twice</t>
        </is>
      </c>
      <c r="B6" t="n">
        <v>0</v>
      </c>
      <c r="C6">
        <f>SUMPRODUCT((Invoices!$A$2:$A$561&lt;&gt;"")*(COUNTIF(Invoices!$A$2:$A$561,Invoices!$A$2:$A$561)&gt;1))</f>
        <v/>
      </c>
      <c r="D6">
        <f>IF(ABS(B6-C6)&lt;0.005,"OK","CHECK")</f>
        <v/>
      </c>
    </row>
    <row r="7">
      <c r="A7" s="2" t="inlineStr">
        <is>
          <t>CLEAN-UP RECONCILIATION (vs the original export, as delivered; adding new rows will change these)</t>
        </is>
      </c>
    </row>
    <row r="8">
      <c r="A8" t="inlineStr">
        <is>
          <t>Rows: original export = kept + duplicates + needs review + blank</t>
        </is>
      </c>
      <c r="B8" s="7" t="n">
        <v>67</v>
      </c>
      <c r="C8" s="7">
        <f>(COUNTA(Invoices!$A:$A)-1)+(COUNTA('Duplicates removed'!$A:$A)-1)+COUNTIF('Needs review'!$E:$E,"Same invoice*")+1</f>
        <v/>
      </c>
      <c r="D8">
        <f>IF(ABS(B8-C8)&lt;0.005,"OK","CHECK")</f>
        <v/>
      </c>
    </row>
    <row r="9">
      <c r="A9" t="inlineStr">
        <is>
          <t>Money: original export total = kept + duplicates + needs review</t>
        </is>
      </c>
      <c r="B9" s="4" t="n">
        <v>88063.5</v>
      </c>
      <c r="C9" s="4">
        <f>SUM(Invoices!$E:$E)+SUM('Duplicates removed'!$D:$D)+SUM('Needs review'!$D:$D)</f>
        <v/>
      </c>
      <c r="D9">
        <f>IF(ABS(B9-C9)&lt;0.005,"OK","CHECK")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2026-10-22T13:09:52Z</dcterms:created>
  <dcterms:modified xsi:type="dcterms:W3CDTF">2026-10-22T13:09:52Z</dcterms:modified>
</cp:coreProperties>
</file>