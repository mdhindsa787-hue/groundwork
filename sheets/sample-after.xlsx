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voices" sheetId="2" state="visible" r:id="rId2"/>
    <sheet name="Summary" sheetId="3" state="visible" r:id="rId3"/>
    <sheet name="Duplicates removed" sheetId="4" state="visible" r:id="rId4"/>
    <sheet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Invoices" displayName="Invoices" ref="A1:G61" headerRowCount="1">
  <autoFilter ref="A1:G61"/>
  <tableColumns count="7">
    <tableColumn id="1" name="Invoice"/>
    <tableColumn id="2" name="Date"/>
    <tableColumn id="3" name="Customer"/>
    <tableColumn id="4" name="Service"/>
    <tableColumn id="5" name="Amount"/>
    <tableColumn id="6" name="Status"/>
    <tableColumn id="7" name="Month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MADE-UP SAMPLE DATA for a Groundwork portfolio example. Not a real business or real customers.</t>
        </is>
      </c>
    </row>
    <row r="2">
      <c r="A2" t="inlineStr"/>
    </row>
    <row r="3">
      <c r="A3" t="inlineStr">
        <is>
          <t>Raw export: 66 rows. Blank rows removed: 1. Duplicate invoices removed: 5.</t>
        </is>
      </c>
    </row>
    <row r="4">
      <c r="A4" t="inlineStr">
        <is>
          <t>Fixed: 4 date formats -&gt; real dates; amounts stored as text ($, commas, 'AUD') -&gt; numbers;</t>
        </is>
      </c>
    </row>
    <row r="5">
      <c r="A5" t="inlineStr">
        <is>
          <t>customer names with stray spaces/capitals merged; Paid? (Y/yes/Paid/blank) -&gt; Paid/Unpaid dropdown.</t>
        </is>
      </c>
    </row>
    <row r="6">
      <c r="A6" t="inlineStr">
        <is>
          <t>Summary and Checks sheets are live formulas, so they keep working when new rows are added to the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17" customWidth="1" min="4" max="4"/>
    <col width="12" customWidth="1" min="5" max="5"/>
    <col width="9" customWidth="1" min="6" max="6"/>
    <col width="10" customWidth="1" min="7" max="7"/>
  </cols>
  <sheetData>
    <row r="1">
      <c r="A1" s="2" t="inlineStr">
        <is>
          <t>Invoice</t>
        </is>
      </c>
      <c r="B1" t="inlineStr">
        <is>
          <t>Date</t>
        </is>
      </c>
      <c r="C1" t="inlineStr">
        <is>
          <t>Customer</t>
        </is>
      </c>
      <c r="D1" t="inlineStr">
        <is>
          <t>Service</t>
        </is>
      </c>
      <c r="E1" t="inlineStr">
        <is>
          <t>Amount</t>
        </is>
      </c>
      <c r="F1" t="inlineStr">
        <is>
          <t>Status</t>
        </is>
      </c>
      <c r="G1" t="inlineStr">
        <is>
          <t>Month</t>
        </is>
      </c>
    </row>
    <row r="2">
      <c r="A2" t="inlineStr">
        <is>
          <t>INV-1004</t>
        </is>
      </c>
      <c r="B2" s="3" t="n">
        <v>46207</v>
      </c>
      <c r="C2" t="inlineStr">
        <is>
          <t>Parkside Dental</t>
        </is>
      </c>
      <c r="D2" t="inlineStr">
        <is>
          <t>Repair</t>
        </is>
      </c>
      <c r="E2" s="4" t="n">
        <v>849.5</v>
      </c>
      <c r="F2" t="inlineStr">
        <is>
          <t>Paid</t>
        </is>
      </c>
      <c r="G2">
        <f>TEXT(B2,"yyyy-mm")</f>
        <v/>
      </c>
    </row>
    <row r="3">
      <c r="A3" t="inlineStr">
        <is>
          <t>INV-1045</t>
        </is>
      </c>
      <c r="B3" s="3" t="n">
        <v>46207</v>
      </c>
      <c r="C3" t="inlineStr">
        <is>
          <t>Hill Street Cafe</t>
        </is>
      </c>
      <c r="D3" t="inlineStr">
        <is>
          <t>Parts</t>
        </is>
      </c>
      <c r="E3" s="4" t="n">
        <v>741.5</v>
      </c>
      <c r="F3" t="inlineStr">
        <is>
          <t>Paid</t>
        </is>
      </c>
      <c r="G3">
        <f>TEXT(B3,"yyyy-mm")</f>
        <v/>
      </c>
    </row>
    <row r="4">
      <c r="A4" t="inlineStr">
        <is>
          <t>INV-1014</t>
        </is>
      </c>
      <c r="B4" s="3" t="n">
        <v>46208</v>
      </c>
      <c r="C4" t="inlineStr">
        <is>
          <t>Summit Physio</t>
        </is>
      </c>
      <c r="D4" t="inlineStr">
        <is>
          <t>Repair</t>
        </is>
      </c>
      <c r="E4" s="4" t="n">
        <v>1796.5</v>
      </c>
      <c r="F4" t="inlineStr">
        <is>
          <t>Unpaid</t>
        </is>
      </c>
      <c r="G4">
        <f>TEXT(B4,"yyyy-mm")</f>
        <v/>
      </c>
    </row>
    <row r="5">
      <c r="A5" t="inlineStr">
        <is>
          <t>INV-1019</t>
        </is>
      </c>
      <c r="B5" s="3" t="n">
        <v>46208</v>
      </c>
      <c r="C5" t="inlineStr">
        <is>
          <t>Riverbend Vets</t>
        </is>
      </c>
      <c r="D5" t="inlineStr">
        <is>
          <t>Call-out</t>
        </is>
      </c>
      <c r="E5" s="4" t="n">
        <v>498.5</v>
      </c>
      <c r="F5" t="inlineStr">
        <is>
          <t>Paid</t>
        </is>
      </c>
      <c r="G5">
        <f>TEXT(B5,"yyyy-mm")</f>
        <v/>
      </c>
    </row>
    <row r="6">
      <c r="A6" t="inlineStr">
        <is>
          <t>INV-1013</t>
        </is>
      </c>
      <c r="B6" s="3" t="n">
        <v>46209</v>
      </c>
      <c r="C6" t="inlineStr">
        <is>
          <t>Bluegum Childcare</t>
        </is>
      </c>
      <c r="D6" t="inlineStr">
        <is>
          <t>Parts</t>
        </is>
      </c>
      <c r="E6" s="4" t="n">
        <v>699</v>
      </c>
      <c r="F6" t="inlineStr">
        <is>
          <t>Unpaid</t>
        </is>
      </c>
      <c r="G6">
        <f>TEXT(B6,"yyyy-mm")</f>
        <v/>
      </c>
    </row>
    <row r="7">
      <c r="A7" t="inlineStr">
        <is>
          <t>INV-1022</t>
        </is>
      </c>
      <c r="B7" s="3" t="n">
        <v>46210</v>
      </c>
      <c r="C7" t="inlineStr">
        <is>
          <t>Summit Physio</t>
        </is>
      </c>
      <c r="D7" t="inlineStr">
        <is>
          <t>Install</t>
        </is>
      </c>
      <c r="E7" s="4" t="n">
        <v>2200.5</v>
      </c>
      <c r="F7" t="inlineStr">
        <is>
          <t>Unpaid</t>
        </is>
      </c>
      <c r="G7">
        <f>TEXT(B7,"yyyy-mm")</f>
        <v/>
      </c>
    </row>
    <row r="8">
      <c r="A8" t="inlineStr">
        <is>
          <t>INV-1046</t>
        </is>
      </c>
      <c r="B8" s="3" t="n">
        <v>46213</v>
      </c>
      <c r="C8" t="inlineStr">
        <is>
          <t>Riverbend Vets</t>
        </is>
      </c>
      <c r="D8" t="inlineStr">
        <is>
          <t>Monthly service</t>
        </is>
      </c>
      <c r="E8" s="4" t="n">
        <v>1905</v>
      </c>
      <c r="F8" t="inlineStr">
        <is>
          <t>Paid</t>
        </is>
      </c>
      <c r="G8">
        <f>TEXT(B8,"yyyy-mm")</f>
        <v/>
      </c>
    </row>
    <row r="9">
      <c r="A9" t="inlineStr">
        <is>
          <t>INV-1052</t>
        </is>
      </c>
      <c r="B9" s="3" t="n">
        <v>46215</v>
      </c>
      <c r="C9" t="inlineStr">
        <is>
          <t>Summit Physio</t>
        </is>
      </c>
      <c r="D9" t="inlineStr">
        <is>
          <t>Parts</t>
        </is>
      </c>
      <c r="E9" s="4" t="n">
        <v>829</v>
      </c>
      <c r="F9" t="inlineStr">
        <is>
          <t>Paid</t>
        </is>
      </c>
      <c r="G9">
        <f>TEXT(B9,"yyyy-mm")</f>
        <v/>
      </c>
    </row>
    <row r="10">
      <c r="A10" t="inlineStr">
        <is>
          <t>INV-1054</t>
        </is>
      </c>
      <c r="B10" s="3" t="n">
        <v>46216</v>
      </c>
      <c r="C10" t="inlineStr">
        <is>
          <t>Riverbend Vets</t>
        </is>
      </c>
      <c r="D10" t="inlineStr">
        <is>
          <t>Repair</t>
        </is>
      </c>
      <c r="E10" s="4" t="n">
        <v>172.5</v>
      </c>
      <c r="F10" t="inlineStr">
        <is>
          <t>Unpaid</t>
        </is>
      </c>
      <c r="G10">
        <f>TEXT(B10,"yyyy-mm")</f>
        <v/>
      </c>
    </row>
    <row r="11">
      <c r="A11" t="inlineStr">
        <is>
          <t>INV-1058</t>
        </is>
      </c>
      <c r="B11" s="3" t="n">
        <v>46219</v>
      </c>
      <c r="C11" t="inlineStr">
        <is>
          <t>Northgate Pharmacy</t>
        </is>
      </c>
      <c r="D11" t="inlineStr">
        <is>
          <t>Install</t>
        </is>
      </c>
      <c r="E11" s="4" t="n">
        <v>1160</v>
      </c>
      <c r="F11" t="inlineStr">
        <is>
          <t>Unpaid</t>
        </is>
      </c>
      <c r="G11">
        <f>TEXT(B11,"yyyy-mm")</f>
        <v/>
      </c>
    </row>
    <row r="12">
      <c r="A12" t="inlineStr">
        <is>
          <t>INV-1003</t>
        </is>
      </c>
      <c r="B12" s="3" t="n">
        <v>46221</v>
      </c>
      <c r="C12" t="inlineStr">
        <is>
          <t>Harbour Bakery</t>
        </is>
      </c>
      <c r="D12" t="inlineStr">
        <is>
          <t>Repair</t>
        </is>
      </c>
      <c r="E12" s="4" t="n">
        <v>625.5</v>
      </c>
      <c r="F12" t="inlineStr">
        <is>
          <t>Unpaid</t>
        </is>
      </c>
      <c r="G12">
        <f>TEXT(B12,"yyyy-mm")</f>
        <v/>
      </c>
    </row>
    <row r="13">
      <c r="A13" t="inlineStr">
        <is>
          <t>INV-1021</t>
        </is>
      </c>
      <c r="B13" s="3" t="n">
        <v>46221</v>
      </c>
      <c r="C13" t="inlineStr">
        <is>
          <t>Bluegum Childcare</t>
        </is>
      </c>
      <c r="D13" t="inlineStr">
        <is>
          <t>Install</t>
        </is>
      </c>
      <c r="E13" s="4" t="n">
        <v>2298.5</v>
      </c>
      <c r="F13" t="inlineStr">
        <is>
          <t>Unpaid</t>
        </is>
      </c>
      <c r="G13">
        <f>TEXT(B13,"yyyy-mm")</f>
        <v/>
      </c>
    </row>
    <row r="14">
      <c r="A14" t="inlineStr">
        <is>
          <t>INV-1057</t>
        </is>
      </c>
      <c r="B14" s="3" t="n">
        <v>46224</v>
      </c>
      <c r="C14" t="inlineStr">
        <is>
          <t>Harbour Bakery</t>
        </is>
      </c>
      <c r="D14" t="inlineStr">
        <is>
          <t>Repair</t>
        </is>
      </c>
      <c r="E14" s="4" t="n">
        <v>1557</v>
      </c>
      <c r="F14" t="inlineStr">
        <is>
          <t>Unpaid</t>
        </is>
      </c>
      <c r="G14">
        <f>TEXT(B14,"yyyy-mm")</f>
        <v/>
      </c>
    </row>
    <row r="15">
      <c r="A15" t="inlineStr">
        <is>
          <t>INV-1006</t>
        </is>
      </c>
      <c r="B15" s="3" t="n">
        <v>46226</v>
      </c>
      <c r="C15" t="inlineStr">
        <is>
          <t>Riverbend Vets</t>
        </is>
      </c>
      <c r="D15" t="inlineStr">
        <is>
          <t>Install</t>
        </is>
      </c>
      <c r="E15" s="4" t="n">
        <v>1079</v>
      </c>
      <c r="F15" t="inlineStr">
        <is>
          <t>Unpaid</t>
        </is>
      </c>
      <c r="G15">
        <f>TEXT(B15,"yyyy-mm")</f>
        <v/>
      </c>
    </row>
    <row r="16">
      <c r="A16" t="inlineStr">
        <is>
          <t>INV-1023</t>
        </is>
      </c>
      <c r="B16" s="3" t="n">
        <v>46226</v>
      </c>
      <c r="C16" t="inlineStr">
        <is>
          <t>Summit Physio</t>
        </is>
      </c>
      <c r="D16" t="inlineStr">
        <is>
          <t>Monthly service</t>
        </is>
      </c>
      <c r="E16" s="4" t="n">
        <v>1490.5</v>
      </c>
      <c r="F16" t="inlineStr">
        <is>
          <t>Paid</t>
        </is>
      </c>
      <c r="G16">
        <f>TEXT(B16,"yyyy-mm")</f>
        <v/>
      </c>
    </row>
    <row r="17">
      <c r="A17" t="inlineStr">
        <is>
          <t>INV-1047</t>
        </is>
      </c>
      <c r="B17" s="3" t="n">
        <v>46227</v>
      </c>
      <c r="C17" t="inlineStr">
        <is>
          <t>Northgate Pharmacy</t>
        </is>
      </c>
      <c r="D17" t="inlineStr">
        <is>
          <t>Install</t>
        </is>
      </c>
      <c r="E17" s="4" t="n">
        <v>2151</v>
      </c>
      <c r="F17" t="inlineStr">
        <is>
          <t>Unpaid</t>
        </is>
      </c>
      <c r="G17">
        <f>TEXT(B17,"yyyy-mm")</f>
        <v/>
      </c>
    </row>
    <row r="18">
      <c r="A18" t="inlineStr">
        <is>
          <t>INV-1033</t>
        </is>
      </c>
      <c r="B18" s="3" t="n">
        <v>46228</v>
      </c>
      <c r="C18" t="inlineStr">
        <is>
          <t>Hill Street Cafe</t>
        </is>
      </c>
      <c r="D18" t="inlineStr">
        <is>
          <t>Repair</t>
        </is>
      </c>
      <c r="E18" s="4" t="n">
        <v>480.5</v>
      </c>
      <c r="F18" t="inlineStr">
        <is>
          <t>Paid</t>
        </is>
      </c>
      <c r="G18">
        <f>TEXT(B18,"yyyy-mm")</f>
        <v/>
      </c>
    </row>
    <row r="19">
      <c r="A19" t="inlineStr">
        <is>
          <t>INV-1041</t>
        </is>
      </c>
      <c r="B19" s="3" t="n">
        <v>46228</v>
      </c>
      <c r="C19" t="inlineStr">
        <is>
          <t>Oakridge Motors</t>
        </is>
      </c>
      <c r="D19" t="inlineStr">
        <is>
          <t>Call-out</t>
        </is>
      </c>
      <c r="E19" s="4" t="n">
        <v>823.5</v>
      </c>
      <c r="F19" t="inlineStr">
        <is>
          <t>Paid</t>
        </is>
      </c>
      <c r="G19">
        <f>TEXT(B19,"yyyy-mm")</f>
        <v/>
      </c>
    </row>
    <row r="20">
      <c r="A20" t="inlineStr">
        <is>
          <t>INV-1025</t>
        </is>
      </c>
      <c r="B20" s="3" t="n">
        <v>46230</v>
      </c>
      <c r="C20" t="inlineStr">
        <is>
          <t>Bluegum Childcare</t>
        </is>
      </c>
      <c r="D20" t="inlineStr">
        <is>
          <t>Parts</t>
        </is>
      </c>
      <c r="E20" s="4" t="n">
        <v>571.5</v>
      </c>
      <c r="F20" t="inlineStr">
        <is>
          <t>Paid</t>
        </is>
      </c>
      <c r="G20">
        <f>TEXT(B20,"yyyy-mm")</f>
        <v/>
      </c>
    </row>
    <row r="21">
      <c r="A21" t="inlineStr">
        <is>
          <t>INV-1059</t>
        </is>
      </c>
      <c r="B21" s="3" t="n">
        <v>46231</v>
      </c>
      <c r="C21" t="inlineStr">
        <is>
          <t>Bluegum Childcare</t>
        </is>
      </c>
      <c r="D21" t="inlineStr">
        <is>
          <t>Install</t>
        </is>
      </c>
      <c r="E21" s="4" t="n">
        <v>1167</v>
      </c>
      <c r="F21" t="inlineStr">
        <is>
          <t>Paid</t>
        </is>
      </c>
      <c r="G21">
        <f>TEXT(B21,"yyyy-mm")</f>
        <v/>
      </c>
    </row>
    <row r="22">
      <c r="A22" t="inlineStr">
        <is>
          <t>INV-1010</t>
        </is>
      </c>
      <c r="B22" s="3" t="n">
        <v>46235</v>
      </c>
      <c r="C22" t="inlineStr">
        <is>
          <t>Oakridge Motors</t>
        </is>
      </c>
      <c r="D22" t="inlineStr">
        <is>
          <t>Monthly service</t>
        </is>
      </c>
      <c r="E22" s="4" t="n">
        <v>1971.5</v>
      </c>
      <c r="F22" t="inlineStr">
        <is>
          <t>Paid</t>
        </is>
      </c>
      <c r="G22">
        <f>TEXT(B22,"yyyy-mm")</f>
        <v/>
      </c>
    </row>
    <row r="23">
      <c r="A23" t="inlineStr">
        <is>
          <t>INV-1043</t>
        </is>
      </c>
      <c r="B23" s="3" t="n">
        <v>46235</v>
      </c>
      <c r="C23" t="inlineStr">
        <is>
          <t>Parkside Dental</t>
        </is>
      </c>
      <c r="D23" t="inlineStr">
        <is>
          <t>Parts</t>
        </is>
      </c>
      <c r="E23" s="4" t="n">
        <v>442.5</v>
      </c>
      <c r="F23" t="inlineStr">
        <is>
          <t>Paid</t>
        </is>
      </c>
      <c r="G23">
        <f>TEXT(B23,"yyyy-mm")</f>
        <v/>
      </c>
    </row>
    <row r="24">
      <c r="A24" t="inlineStr">
        <is>
          <t>INV-1044</t>
        </is>
      </c>
      <c r="B24" s="3" t="n">
        <v>46235</v>
      </c>
      <c r="C24" t="inlineStr">
        <is>
          <t>Riverbend Vets</t>
        </is>
      </c>
      <c r="D24" t="inlineStr">
        <is>
          <t>Repair</t>
        </is>
      </c>
      <c r="E24" s="4" t="n">
        <v>1469.5</v>
      </c>
      <c r="F24" t="inlineStr">
        <is>
          <t>Unpaid</t>
        </is>
      </c>
      <c r="G24">
        <f>TEXT(B24,"yyyy-mm")</f>
        <v/>
      </c>
    </row>
    <row r="25">
      <c r="A25" t="inlineStr">
        <is>
          <t>INV-1002</t>
        </is>
      </c>
      <c r="B25" s="3" t="n">
        <v>46236</v>
      </c>
      <c r="C25" t="inlineStr">
        <is>
          <t>Bluegum Childcare</t>
        </is>
      </c>
      <c r="D25" t="inlineStr">
        <is>
          <t>Monthly service</t>
        </is>
      </c>
      <c r="E25" s="4" t="n">
        <v>2396</v>
      </c>
      <c r="F25" t="inlineStr">
        <is>
          <t>Paid</t>
        </is>
      </c>
      <c r="G25">
        <f>TEXT(B25,"yyyy-mm")</f>
        <v/>
      </c>
    </row>
    <row r="26">
      <c r="A26" t="inlineStr">
        <is>
          <t>INV-1049</t>
        </is>
      </c>
      <c r="B26" s="3" t="n">
        <v>46236</v>
      </c>
      <c r="C26" t="inlineStr">
        <is>
          <t>Parkside Dental</t>
        </is>
      </c>
      <c r="D26" t="inlineStr">
        <is>
          <t>Monthly service</t>
        </is>
      </c>
      <c r="E26" s="4" t="n">
        <v>611</v>
      </c>
      <c r="F26" t="inlineStr">
        <is>
          <t>Paid</t>
        </is>
      </c>
      <c r="G26">
        <f>TEXT(B26,"yyyy-mm")</f>
        <v/>
      </c>
    </row>
    <row r="27">
      <c r="A27" t="inlineStr">
        <is>
          <t>INV-1000</t>
        </is>
      </c>
      <c r="B27" s="3" t="n">
        <v>46239</v>
      </c>
      <c r="C27" t="inlineStr">
        <is>
          <t>Parkside Dental</t>
        </is>
      </c>
      <c r="D27" t="inlineStr">
        <is>
          <t>Repair</t>
        </is>
      </c>
      <c r="E27" s="4" t="n">
        <v>1697</v>
      </c>
      <c r="F27" t="inlineStr">
        <is>
          <t>Paid</t>
        </is>
      </c>
      <c r="G27">
        <f>TEXT(B27,"yyyy-mm")</f>
        <v/>
      </c>
    </row>
    <row r="28">
      <c r="A28" t="inlineStr">
        <is>
          <t>INV-1011</t>
        </is>
      </c>
      <c r="B28" s="3" t="n">
        <v>46239</v>
      </c>
      <c r="C28" t="inlineStr">
        <is>
          <t>Harbour Bakery</t>
        </is>
      </c>
      <c r="D28" t="inlineStr">
        <is>
          <t>Install</t>
        </is>
      </c>
      <c r="E28" s="4" t="n">
        <v>1094.5</v>
      </c>
      <c r="F28" t="inlineStr">
        <is>
          <t>Unpaid</t>
        </is>
      </c>
      <c r="G28">
        <f>TEXT(B28,"yyyy-mm")</f>
        <v/>
      </c>
    </row>
    <row r="29">
      <c r="A29" t="inlineStr">
        <is>
          <t>INV-1020</t>
        </is>
      </c>
      <c r="B29" s="3" t="n">
        <v>46239</v>
      </c>
      <c r="C29" t="inlineStr">
        <is>
          <t>Riverbend Vets</t>
        </is>
      </c>
      <c r="D29" t="inlineStr">
        <is>
          <t>Call-out</t>
        </is>
      </c>
      <c r="E29" s="4" t="n">
        <v>2304</v>
      </c>
      <c r="F29" t="inlineStr">
        <is>
          <t>Unpaid</t>
        </is>
      </c>
      <c r="G29">
        <f>TEXT(B29,"yyyy-mm")</f>
        <v/>
      </c>
    </row>
    <row r="30">
      <c r="A30" t="inlineStr">
        <is>
          <t>INV-1037</t>
        </is>
      </c>
      <c r="B30" s="3" t="n">
        <v>46239</v>
      </c>
      <c r="C30" t="inlineStr">
        <is>
          <t>Parkside Dental</t>
        </is>
      </c>
      <c r="D30" t="inlineStr">
        <is>
          <t>Call-out</t>
        </is>
      </c>
      <c r="E30" s="4" t="n">
        <v>1995</v>
      </c>
      <c r="F30" t="inlineStr">
        <is>
          <t>Paid</t>
        </is>
      </c>
      <c r="G30">
        <f>TEXT(B30,"yyyy-mm")</f>
        <v/>
      </c>
    </row>
    <row r="31">
      <c r="A31" t="inlineStr">
        <is>
          <t>INV-1016</t>
        </is>
      </c>
      <c r="B31" s="3" t="n">
        <v>46240</v>
      </c>
      <c r="C31" t="inlineStr">
        <is>
          <t>Hill Street Cafe</t>
        </is>
      </c>
      <c r="D31" t="inlineStr">
        <is>
          <t>Repair</t>
        </is>
      </c>
      <c r="E31" s="4" t="n">
        <v>530.5</v>
      </c>
      <c r="F31" t="inlineStr">
        <is>
          <t>Paid</t>
        </is>
      </c>
      <c r="G31">
        <f>TEXT(B31,"yyyy-mm")</f>
        <v/>
      </c>
    </row>
    <row r="32">
      <c r="A32" t="inlineStr">
        <is>
          <t>INV-1024</t>
        </is>
      </c>
      <c r="B32" s="3" t="n">
        <v>46241</v>
      </c>
      <c r="C32" t="inlineStr">
        <is>
          <t>Northgate Pharmacy</t>
        </is>
      </c>
      <c r="D32" t="inlineStr">
        <is>
          <t>Parts</t>
        </is>
      </c>
      <c r="E32" s="4" t="n">
        <v>1463</v>
      </c>
      <c r="F32" t="inlineStr">
        <is>
          <t>Unpaid</t>
        </is>
      </c>
      <c r="G32">
        <f>TEXT(B32,"yyyy-mm")</f>
        <v/>
      </c>
    </row>
    <row r="33">
      <c r="A33" t="inlineStr">
        <is>
          <t>INV-1015</t>
        </is>
      </c>
      <c r="B33" s="3" t="n">
        <v>46247</v>
      </c>
      <c r="C33" t="inlineStr">
        <is>
          <t>Northgate Pharmacy</t>
        </is>
      </c>
      <c r="D33" t="inlineStr">
        <is>
          <t>Monthly service</t>
        </is>
      </c>
      <c r="E33" s="4" t="n">
        <v>1694</v>
      </c>
      <c r="F33" t="inlineStr">
        <is>
          <t>Paid</t>
        </is>
      </c>
      <c r="G33">
        <f>TEXT(B33,"yyyy-mm")</f>
        <v/>
      </c>
    </row>
    <row r="34">
      <c r="A34" t="inlineStr">
        <is>
          <t>INV-1030</t>
        </is>
      </c>
      <c r="B34" s="3" t="n">
        <v>46249</v>
      </c>
      <c r="C34" t="inlineStr">
        <is>
          <t>Oakridge Motors</t>
        </is>
      </c>
      <c r="D34" t="inlineStr">
        <is>
          <t>Install</t>
        </is>
      </c>
      <c r="E34" s="4" t="n">
        <v>2196.5</v>
      </c>
      <c r="F34" t="inlineStr">
        <is>
          <t>Paid</t>
        </is>
      </c>
      <c r="G34">
        <f>TEXT(B34,"yyyy-mm")</f>
        <v/>
      </c>
    </row>
    <row r="35">
      <c r="A35" t="inlineStr">
        <is>
          <t>INV-1051</t>
        </is>
      </c>
      <c r="B35" s="3" t="n">
        <v>46249</v>
      </c>
      <c r="C35" t="inlineStr">
        <is>
          <t>Summit Physio</t>
        </is>
      </c>
      <c r="D35" t="inlineStr">
        <is>
          <t>Monthly service</t>
        </is>
      </c>
      <c r="E35" s="4" t="n">
        <v>94.5</v>
      </c>
      <c r="F35" t="inlineStr">
        <is>
          <t>Unpaid</t>
        </is>
      </c>
      <c r="G35">
        <f>TEXT(B35,"yyyy-mm")</f>
        <v/>
      </c>
    </row>
    <row r="36">
      <c r="A36" t="inlineStr">
        <is>
          <t>INV-1009</t>
        </is>
      </c>
      <c r="B36" s="3" t="n">
        <v>46250</v>
      </c>
      <c r="C36" t="inlineStr">
        <is>
          <t>Riverbend Vets</t>
        </is>
      </c>
      <c r="D36" t="inlineStr">
        <is>
          <t>Install</t>
        </is>
      </c>
      <c r="E36" s="4" t="n">
        <v>346</v>
      </c>
      <c r="F36" t="inlineStr">
        <is>
          <t>Unpaid</t>
        </is>
      </c>
      <c r="G36">
        <f>TEXT(B36,"yyyy-mm")</f>
        <v/>
      </c>
    </row>
    <row r="37">
      <c r="A37" t="inlineStr">
        <is>
          <t>INV-1029</t>
        </is>
      </c>
      <c r="B37" s="3" t="n">
        <v>46251</v>
      </c>
      <c r="C37" t="inlineStr">
        <is>
          <t>Riverbend Vets</t>
        </is>
      </c>
      <c r="D37" t="inlineStr">
        <is>
          <t>Monthly service</t>
        </is>
      </c>
      <c r="E37" s="4" t="n">
        <v>1065.5</v>
      </c>
      <c r="F37" t="inlineStr">
        <is>
          <t>Unpaid</t>
        </is>
      </c>
      <c r="G37">
        <f>TEXT(B37,"yyyy-mm")</f>
        <v/>
      </c>
    </row>
    <row r="38">
      <c r="A38" t="inlineStr">
        <is>
          <t>INV-1048</t>
        </is>
      </c>
      <c r="B38" s="3" t="n">
        <v>46252</v>
      </c>
      <c r="C38" t="inlineStr">
        <is>
          <t>Bluegum Childcare</t>
        </is>
      </c>
      <c r="D38" t="inlineStr">
        <is>
          <t>Call-out</t>
        </is>
      </c>
      <c r="E38" s="4" t="n">
        <v>1690.5</v>
      </c>
      <c r="F38" t="inlineStr">
        <is>
          <t>Unpaid</t>
        </is>
      </c>
      <c r="G38">
        <f>TEXT(B38,"yyyy-mm")</f>
        <v/>
      </c>
    </row>
    <row r="39">
      <c r="A39" t="inlineStr">
        <is>
          <t>INV-1017</t>
        </is>
      </c>
      <c r="B39" s="3" t="n">
        <v>46254</v>
      </c>
      <c r="C39" t="inlineStr">
        <is>
          <t>Bluegum Childcare</t>
        </is>
      </c>
      <c r="D39" t="inlineStr">
        <is>
          <t>Parts</t>
        </is>
      </c>
      <c r="E39" s="4" t="n">
        <v>184</v>
      </c>
      <c r="F39" t="inlineStr">
        <is>
          <t>Unpaid</t>
        </is>
      </c>
      <c r="G39">
        <f>TEXT(B39,"yyyy-mm")</f>
        <v/>
      </c>
    </row>
    <row r="40">
      <c r="A40" t="inlineStr">
        <is>
          <t>INV-1005</t>
        </is>
      </c>
      <c r="B40" s="3" t="n">
        <v>46256</v>
      </c>
      <c r="C40" t="inlineStr">
        <is>
          <t>Summit Physio</t>
        </is>
      </c>
      <c r="D40" t="inlineStr">
        <is>
          <t>Parts</t>
        </is>
      </c>
      <c r="E40" s="4" t="n">
        <v>2257.5</v>
      </c>
      <c r="F40" t="inlineStr">
        <is>
          <t>Paid</t>
        </is>
      </c>
      <c r="G40">
        <f>TEXT(B40,"yyyy-mm")</f>
        <v/>
      </c>
    </row>
    <row r="41">
      <c r="A41" t="inlineStr">
        <is>
          <t>INV-1055</t>
        </is>
      </c>
      <c r="B41" s="3" t="n">
        <v>46258</v>
      </c>
      <c r="C41" t="inlineStr">
        <is>
          <t>Riverbend Vets</t>
        </is>
      </c>
      <c r="D41" t="inlineStr">
        <is>
          <t>Repair</t>
        </is>
      </c>
      <c r="E41" s="4" t="n">
        <v>2104</v>
      </c>
      <c r="F41" t="inlineStr">
        <is>
          <t>Unpaid</t>
        </is>
      </c>
      <c r="G41">
        <f>TEXT(B41,"yyyy-mm")</f>
        <v/>
      </c>
    </row>
    <row r="42">
      <c r="A42" t="inlineStr">
        <is>
          <t>INV-1056</t>
        </is>
      </c>
      <c r="B42" s="3" t="n">
        <v>46258</v>
      </c>
      <c r="C42" t="inlineStr">
        <is>
          <t>Hill Street Cafe</t>
        </is>
      </c>
      <c r="D42" t="inlineStr">
        <is>
          <t>Monthly service</t>
        </is>
      </c>
      <c r="E42" s="4" t="n">
        <v>2150</v>
      </c>
      <c r="F42" t="inlineStr">
        <is>
          <t>Paid</t>
        </is>
      </c>
      <c r="G42">
        <f>TEXT(B42,"yyyy-mm")</f>
        <v/>
      </c>
    </row>
    <row r="43">
      <c r="A43" t="inlineStr">
        <is>
          <t>INV-1031</t>
        </is>
      </c>
      <c r="B43" s="3" t="n">
        <v>46266</v>
      </c>
      <c r="C43" t="inlineStr">
        <is>
          <t>Oakridge Motors</t>
        </is>
      </c>
      <c r="D43" t="inlineStr">
        <is>
          <t>Parts</t>
        </is>
      </c>
      <c r="E43" s="4" t="n">
        <v>693</v>
      </c>
      <c r="F43" t="inlineStr">
        <is>
          <t>Unpaid</t>
        </is>
      </c>
      <c r="G43">
        <f>TEXT(B43,"yyyy-mm")</f>
        <v/>
      </c>
    </row>
    <row r="44">
      <c r="A44" t="inlineStr">
        <is>
          <t>INV-1007</t>
        </is>
      </c>
      <c r="B44" s="3" t="n">
        <v>46268</v>
      </c>
      <c r="C44" t="inlineStr">
        <is>
          <t>Oakridge Motors</t>
        </is>
      </c>
      <c r="D44" t="inlineStr">
        <is>
          <t>Install</t>
        </is>
      </c>
      <c r="E44" s="4" t="n">
        <v>563.5</v>
      </c>
      <c r="F44" t="inlineStr">
        <is>
          <t>Paid</t>
        </is>
      </c>
      <c r="G44">
        <f>TEXT(B44,"yyyy-mm")</f>
        <v/>
      </c>
    </row>
    <row r="45">
      <c r="A45" t="inlineStr">
        <is>
          <t>INV-1008</t>
        </is>
      </c>
      <c r="B45" s="3" t="n">
        <v>46268</v>
      </c>
      <c r="C45" t="inlineStr">
        <is>
          <t>Summit Physio</t>
        </is>
      </c>
      <c r="D45" t="inlineStr">
        <is>
          <t>Monthly service</t>
        </is>
      </c>
      <c r="E45" s="4" t="n">
        <v>2365.5</v>
      </c>
      <c r="F45" t="inlineStr">
        <is>
          <t>Paid</t>
        </is>
      </c>
      <c r="G45">
        <f>TEXT(B45,"yyyy-mm")</f>
        <v/>
      </c>
    </row>
    <row r="46">
      <c r="A46" t="inlineStr">
        <is>
          <t>INV-1028</t>
        </is>
      </c>
      <c r="B46" s="3" t="n">
        <v>46269</v>
      </c>
      <c r="C46" t="inlineStr">
        <is>
          <t>Harbour Bakery</t>
        </is>
      </c>
      <c r="D46" t="inlineStr">
        <is>
          <t>Parts</t>
        </is>
      </c>
      <c r="E46" s="4" t="n">
        <v>2236</v>
      </c>
      <c r="F46" t="inlineStr">
        <is>
          <t>Paid</t>
        </is>
      </c>
      <c r="G46">
        <f>TEXT(B46,"yyyy-mm")</f>
        <v/>
      </c>
    </row>
    <row r="47">
      <c r="A47" t="inlineStr">
        <is>
          <t>INV-1001</t>
        </is>
      </c>
      <c r="B47" s="3" t="n">
        <v>46272</v>
      </c>
      <c r="C47" t="inlineStr">
        <is>
          <t>Harbour Bakery</t>
        </is>
      </c>
      <c r="D47" t="inlineStr">
        <is>
          <t>Monthly service</t>
        </is>
      </c>
      <c r="E47" s="4" t="n">
        <v>233</v>
      </c>
      <c r="F47" t="inlineStr">
        <is>
          <t>Paid</t>
        </is>
      </c>
      <c r="G47">
        <f>TEXT(B47,"yyyy-mm")</f>
        <v/>
      </c>
    </row>
    <row r="48">
      <c r="A48" t="inlineStr">
        <is>
          <t>INV-1035</t>
        </is>
      </c>
      <c r="B48" s="3" t="n">
        <v>46272</v>
      </c>
      <c r="C48" t="inlineStr">
        <is>
          <t>Harbour Bakery</t>
        </is>
      </c>
      <c r="D48" t="inlineStr">
        <is>
          <t>Parts</t>
        </is>
      </c>
      <c r="E48" s="4" t="n">
        <v>1913</v>
      </c>
      <c r="F48" t="inlineStr">
        <is>
          <t>Paid</t>
        </is>
      </c>
      <c r="G48">
        <f>TEXT(B48,"yyyy-mm")</f>
        <v/>
      </c>
    </row>
    <row r="49">
      <c r="A49" t="inlineStr">
        <is>
          <t>INV-1053</t>
        </is>
      </c>
      <c r="B49" s="3" t="n">
        <v>46272</v>
      </c>
      <c r="C49" t="inlineStr">
        <is>
          <t>Parkside Dental</t>
        </is>
      </c>
      <c r="D49" t="inlineStr">
        <is>
          <t>Install</t>
        </is>
      </c>
      <c r="E49" s="4" t="n">
        <v>1096</v>
      </c>
      <c r="F49" t="inlineStr">
        <is>
          <t>Paid</t>
        </is>
      </c>
      <c r="G49">
        <f>TEXT(B49,"yyyy-mm")</f>
        <v/>
      </c>
    </row>
    <row r="50">
      <c r="A50" t="inlineStr">
        <is>
          <t>INV-1036</t>
        </is>
      </c>
      <c r="B50" s="3" t="n">
        <v>46273</v>
      </c>
      <c r="C50" t="inlineStr">
        <is>
          <t>Bluegum Childcare</t>
        </is>
      </c>
      <c r="D50" t="inlineStr">
        <is>
          <t>Parts</t>
        </is>
      </c>
      <c r="E50" s="4" t="n">
        <v>1834</v>
      </c>
      <c r="F50" t="inlineStr">
        <is>
          <t>Paid</t>
        </is>
      </c>
      <c r="G50">
        <f>TEXT(B50,"yyyy-mm")</f>
        <v/>
      </c>
    </row>
    <row r="51">
      <c r="A51" t="inlineStr">
        <is>
          <t>INV-1012</t>
        </is>
      </c>
      <c r="B51" s="3" t="n">
        <v>46274</v>
      </c>
      <c r="C51" t="inlineStr">
        <is>
          <t>Riverbend Vets</t>
        </is>
      </c>
      <c r="D51" t="inlineStr">
        <is>
          <t>Call-out</t>
        </is>
      </c>
      <c r="E51" s="4" t="n">
        <v>640.5</v>
      </c>
      <c r="F51" t="inlineStr">
        <is>
          <t>Paid</t>
        </is>
      </c>
      <c r="G51">
        <f>TEXT(B51,"yyyy-mm")</f>
        <v/>
      </c>
    </row>
    <row r="52">
      <c r="A52" t="inlineStr">
        <is>
          <t>INV-1040</t>
        </is>
      </c>
      <c r="B52" s="3" t="n">
        <v>46275</v>
      </c>
      <c r="C52" t="inlineStr">
        <is>
          <t>Parkside Dental</t>
        </is>
      </c>
      <c r="D52" t="inlineStr">
        <is>
          <t>Parts</t>
        </is>
      </c>
      <c r="E52" s="4" t="n">
        <v>2178</v>
      </c>
      <c r="F52" t="inlineStr">
        <is>
          <t>Unpaid</t>
        </is>
      </c>
      <c r="G52">
        <f>TEXT(B52,"yyyy-mm")</f>
        <v/>
      </c>
    </row>
    <row r="53">
      <c r="A53" t="inlineStr">
        <is>
          <t>INV-1018</t>
        </is>
      </c>
      <c r="B53" s="3" t="n">
        <v>46277</v>
      </c>
      <c r="C53" t="inlineStr">
        <is>
          <t>Parkside Dental</t>
        </is>
      </c>
      <c r="D53" t="inlineStr">
        <is>
          <t>Install</t>
        </is>
      </c>
      <c r="E53" s="4" t="n">
        <v>2022</v>
      </c>
      <c r="F53" t="inlineStr">
        <is>
          <t>Unpaid</t>
        </is>
      </c>
      <c r="G53">
        <f>TEXT(B53,"yyyy-mm")</f>
        <v/>
      </c>
    </row>
    <row r="54">
      <c r="A54" t="inlineStr">
        <is>
          <t>INV-1039</t>
        </is>
      </c>
      <c r="B54" s="3" t="n">
        <v>46277</v>
      </c>
      <c r="C54" t="inlineStr">
        <is>
          <t>Northgate Pharmacy</t>
        </is>
      </c>
      <c r="D54" t="inlineStr">
        <is>
          <t>Parts</t>
        </is>
      </c>
      <c r="E54" s="4" t="n">
        <v>159.5</v>
      </c>
      <c r="F54" t="inlineStr">
        <is>
          <t>Paid</t>
        </is>
      </c>
      <c r="G54">
        <f>TEXT(B54,"yyyy-mm")</f>
        <v/>
      </c>
    </row>
    <row r="55">
      <c r="A55" t="inlineStr">
        <is>
          <t>INV-1026</t>
        </is>
      </c>
      <c r="B55" s="3" t="n">
        <v>46278</v>
      </c>
      <c r="C55" t="inlineStr">
        <is>
          <t>Parkside Dental</t>
        </is>
      </c>
      <c r="D55" t="inlineStr">
        <is>
          <t>Monthly service</t>
        </is>
      </c>
      <c r="E55" s="4" t="n">
        <v>1977.5</v>
      </c>
      <c r="F55" t="inlineStr">
        <is>
          <t>Paid</t>
        </is>
      </c>
      <c r="G55">
        <f>TEXT(B55,"yyyy-mm")</f>
        <v/>
      </c>
    </row>
    <row r="56">
      <c r="A56" t="inlineStr">
        <is>
          <t>INV-1038</t>
        </is>
      </c>
      <c r="B56" s="3" t="n">
        <v>46279</v>
      </c>
      <c r="C56" t="inlineStr">
        <is>
          <t>Summit Physio</t>
        </is>
      </c>
      <c r="D56" t="inlineStr">
        <is>
          <t>Parts</t>
        </is>
      </c>
      <c r="E56" s="4" t="n">
        <v>2191.5</v>
      </c>
      <c r="F56" t="inlineStr">
        <is>
          <t>Paid</t>
        </is>
      </c>
      <c r="G56">
        <f>TEXT(B56,"yyyy-mm")</f>
        <v/>
      </c>
    </row>
    <row r="57">
      <c r="A57" t="inlineStr">
        <is>
          <t>INV-1027</t>
        </is>
      </c>
      <c r="B57" s="3" t="n">
        <v>46280</v>
      </c>
      <c r="C57" t="inlineStr">
        <is>
          <t>Summit Physio</t>
        </is>
      </c>
      <c r="D57" t="inlineStr">
        <is>
          <t>Monthly service</t>
        </is>
      </c>
      <c r="E57" s="4" t="n">
        <v>678.5</v>
      </c>
      <c r="F57" t="inlineStr">
        <is>
          <t>Unpaid</t>
        </is>
      </c>
      <c r="G57">
        <f>TEXT(B57,"yyyy-mm")</f>
        <v/>
      </c>
    </row>
    <row r="58">
      <c r="A58" t="inlineStr">
        <is>
          <t>INV-1032</t>
        </is>
      </c>
      <c r="B58" s="3" t="n">
        <v>46282</v>
      </c>
      <c r="C58" t="inlineStr">
        <is>
          <t>Parkside Dental</t>
        </is>
      </c>
      <c r="D58" t="inlineStr">
        <is>
          <t>Call-out</t>
        </is>
      </c>
      <c r="E58" s="4" t="n">
        <v>2355.5</v>
      </c>
      <c r="F58" t="inlineStr">
        <is>
          <t>Unpaid</t>
        </is>
      </c>
      <c r="G58">
        <f>TEXT(B58,"yyyy-mm")</f>
        <v/>
      </c>
    </row>
    <row r="59">
      <c r="A59" t="inlineStr">
        <is>
          <t>INV-1034</t>
        </is>
      </c>
      <c r="B59" s="3" t="n">
        <v>46282</v>
      </c>
      <c r="C59" t="inlineStr">
        <is>
          <t>Northgate Pharmacy</t>
        </is>
      </c>
      <c r="D59" t="inlineStr">
        <is>
          <t>Repair</t>
        </is>
      </c>
      <c r="E59" s="4" t="n">
        <v>896.5</v>
      </c>
      <c r="F59" t="inlineStr">
        <is>
          <t>Unpaid</t>
        </is>
      </c>
      <c r="G59">
        <f>TEXT(B59,"yyyy-mm")</f>
        <v/>
      </c>
    </row>
    <row r="60">
      <c r="A60" t="inlineStr">
        <is>
          <t>INV-1042</t>
        </is>
      </c>
      <c r="B60" s="3" t="n">
        <v>46284</v>
      </c>
      <c r="C60" t="inlineStr">
        <is>
          <t>Parkside Dental</t>
        </is>
      </c>
      <c r="D60" t="inlineStr">
        <is>
          <t>Install</t>
        </is>
      </c>
      <c r="E60" s="4" t="n">
        <v>2105.5</v>
      </c>
      <c r="F60" t="inlineStr">
        <is>
          <t>Paid</t>
        </is>
      </c>
      <c r="G60">
        <f>TEXT(B60,"yyyy-mm")</f>
        <v/>
      </c>
    </row>
    <row r="61">
      <c r="A61" t="inlineStr">
        <is>
          <t>INV-1050</t>
        </is>
      </c>
      <c r="B61" s="3" t="n">
        <v>46292</v>
      </c>
      <c r="C61" t="inlineStr">
        <is>
          <t>Bluegum Childcare</t>
        </is>
      </c>
      <c r="D61" t="inlineStr">
        <is>
          <t>Call-out</t>
        </is>
      </c>
      <c r="E61" s="4" t="n">
        <v>1640.5</v>
      </c>
      <c r="F61" t="inlineStr">
        <is>
          <t>Paid</t>
        </is>
      </c>
      <c r="G61">
        <f>TEXT(B61,"yyyy-mm")</f>
        <v/>
      </c>
    </row>
  </sheetData>
  <dataValidations count="1">
    <dataValidation sqref="F2:F261" showDropDown="0" showInputMessage="0" showErrorMessage="0" allowBlank="0" type="list">
      <formula1>"Paid,Unpaid"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Summary (live formulas: edit the Invoices sheet and these update)</t>
        </is>
      </c>
    </row>
    <row r="3">
      <c r="A3" t="inlineStr">
        <is>
          <t>Customer</t>
        </is>
      </c>
      <c r="B3" t="inlineStr">
        <is>
          <t>Invoiced</t>
        </is>
      </c>
      <c r="C3" t="inlineStr">
        <is>
          <t>Unpaid</t>
        </is>
      </c>
      <c r="D3" t="inlineStr">
        <is>
          <t>Jobs</t>
        </is>
      </c>
    </row>
    <row r="4">
      <c r="A4" t="inlineStr">
        <is>
          <t>Bluegum Childcare</t>
        </is>
      </c>
      <c r="B4" s="4">
        <f>SUMIFS(Invoices!$E$2:$E$61,Invoices!$C$2:$C$61,A4)</f>
        <v/>
      </c>
      <c r="C4" s="4">
        <f>SUMIFS(Invoices!$E$2:$E$61,Invoices!$C$2:$C$61,A4,Invoices!$F$2:$F$61,"Unpaid")</f>
        <v/>
      </c>
      <c r="D4">
        <f>COUNTIF(Invoices!$C$2:$C$61,A4)</f>
        <v/>
      </c>
    </row>
    <row r="5">
      <c r="A5" t="inlineStr">
        <is>
          <t>Harbour Bakery</t>
        </is>
      </c>
      <c r="B5" s="4">
        <f>SUMIFS(Invoices!$E$2:$E$61,Invoices!$C$2:$C$61,A5)</f>
        <v/>
      </c>
      <c r="C5" s="4">
        <f>SUMIFS(Invoices!$E$2:$E$61,Invoices!$C$2:$C$61,A5,Invoices!$F$2:$F$61,"Unpaid")</f>
        <v/>
      </c>
      <c r="D5">
        <f>COUNTIF(Invoices!$C$2:$C$61,A5)</f>
        <v/>
      </c>
    </row>
    <row r="6">
      <c r="A6" t="inlineStr">
        <is>
          <t>Hill Street Cafe</t>
        </is>
      </c>
      <c r="B6" s="4">
        <f>SUMIFS(Invoices!$E$2:$E$61,Invoices!$C$2:$C$61,A6)</f>
        <v/>
      </c>
      <c r="C6" s="4">
        <f>SUMIFS(Invoices!$E$2:$E$61,Invoices!$C$2:$C$61,A6,Invoices!$F$2:$F$61,"Unpaid")</f>
        <v/>
      </c>
      <c r="D6">
        <f>COUNTIF(Invoices!$C$2:$C$61,A6)</f>
        <v/>
      </c>
    </row>
    <row r="7">
      <c r="A7" t="inlineStr">
        <is>
          <t>Northgate Pharmacy</t>
        </is>
      </c>
      <c r="B7" s="4">
        <f>SUMIFS(Invoices!$E$2:$E$61,Invoices!$C$2:$C$61,A7)</f>
        <v/>
      </c>
      <c r="C7" s="4">
        <f>SUMIFS(Invoices!$E$2:$E$61,Invoices!$C$2:$C$61,A7,Invoices!$F$2:$F$61,"Unpaid")</f>
        <v/>
      </c>
      <c r="D7">
        <f>COUNTIF(Invoices!$C$2:$C$61,A7)</f>
        <v/>
      </c>
    </row>
    <row r="8">
      <c r="A8" t="inlineStr">
        <is>
          <t>Oakridge Motors</t>
        </is>
      </c>
      <c r="B8" s="4">
        <f>SUMIFS(Invoices!$E$2:$E$61,Invoices!$C$2:$C$61,A8)</f>
        <v/>
      </c>
      <c r="C8" s="4">
        <f>SUMIFS(Invoices!$E$2:$E$61,Invoices!$C$2:$C$61,A8,Invoices!$F$2:$F$61,"Unpaid")</f>
        <v/>
      </c>
      <c r="D8">
        <f>COUNTIF(Invoices!$C$2:$C$61,A8)</f>
        <v/>
      </c>
    </row>
    <row r="9">
      <c r="A9" t="inlineStr">
        <is>
          <t>Parkside Dental</t>
        </is>
      </c>
      <c r="B9" s="4">
        <f>SUMIFS(Invoices!$E$2:$E$61,Invoices!$C$2:$C$61,A9)</f>
        <v/>
      </c>
      <c r="C9" s="4">
        <f>SUMIFS(Invoices!$E$2:$E$61,Invoices!$C$2:$C$61,A9,Invoices!$F$2:$F$61,"Unpaid")</f>
        <v/>
      </c>
      <c r="D9">
        <f>COUNTIF(Invoices!$C$2:$C$61,A9)</f>
        <v/>
      </c>
    </row>
    <row r="10">
      <c r="A10" t="inlineStr">
        <is>
          <t>Riverbend Vets</t>
        </is>
      </c>
      <c r="B10" s="4">
        <f>SUMIFS(Invoices!$E$2:$E$61,Invoices!$C$2:$C$61,A10)</f>
        <v/>
      </c>
      <c r="C10" s="4">
        <f>SUMIFS(Invoices!$E$2:$E$61,Invoices!$C$2:$C$61,A10,Invoices!$F$2:$F$61,"Unpaid")</f>
        <v/>
      </c>
      <c r="D10">
        <f>COUNTIF(Invoices!$C$2:$C$61,A10)</f>
        <v/>
      </c>
    </row>
    <row r="11">
      <c r="A11" t="inlineStr">
        <is>
          <t>Summit Physio</t>
        </is>
      </c>
      <c r="B11" s="4">
        <f>SUMIFS(Invoices!$E$2:$E$61,Invoices!$C$2:$C$61,A11)</f>
        <v/>
      </c>
      <c r="C11" s="4">
        <f>SUMIFS(Invoices!$E$2:$E$61,Invoices!$C$2:$C$61,A11,Invoices!$F$2:$F$61,"Unpaid")</f>
        <v/>
      </c>
      <c r="D11">
        <f>COUNTIF(Invoices!$C$2:$C$61,A11)</f>
        <v/>
      </c>
    </row>
    <row r="12">
      <c r="A12" t="inlineStr">
        <is>
          <t>Total</t>
        </is>
      </c>
      <c r="B12" s="4">
        <f>SUM(B4:B11)</f>
        <v/>
      </c>
      <c r="C12" s="4">
        <f>SUM(C4:C11)</f>
        <v/>
      </c>
      <c r="D12">
        <f>SUM(D4:D11)</f>
        <v/>
      </c>
    </row>
    <row r="13">
      <c r="B13" s="4" t="n"/>
      <c r="C13" s="4" t="n"/>
    </row>
    <row r="14">
      <c r="A14" t="inlineStr">
        <is>
          <t>Month</t>
        </is>
      </c>
      <c r="B14" s="4" t="inlineStr">
        <is>
          <t>Invoiced</t>
        </is>
      </c>
      <c r="C14" s="4" t="n"/>
    </row>
    <row r="15">
      <c r="A15" t="inlineStr">
        <is>
          <t>2026-07</t>
        </is>
      </c>
      <c r="B15" s="4">
        <f>SUMIFS(Invoices!$E$2:$E$61,Invoices!$G$2:$G$61,A15)</f>
        <v/>
      </c>
      <c r="C15" s="4" t="n"/>
    </row>
    <row r="16">
      <c r="A16" t="inlineStr">
        <is>
          <t>2026-08</t>
        </is>
      </c>
      <c r="B16" s="4">
        <f>SUMIFS(Invoices!$E$2:$E$61,Invoices!$G$2:$G$61,A16)</f>
        <v/>
      </c>
      <c r="C16" s="4" t="n"/>
    </row>
    <row r="17">
      <c r="A17" t="inlineStr">
        <is>
          <t>2026-09</t>
        </is>
      </c>
      <c r="B17" s="4">
        <f>SUMIFS(Invoices!$E$2:$E$61,Invoices!$G$2:$G$61,A17)</f>
        <v/>
      </c>
      <c r="C1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Invoice</t>
        </is>
      </c>
      <c r="B1" t="inlineStr">
        <is>
          <t>Date</t>
        </is>
      </c>
      <c r="C1" t="inlineStr">
        <is>
          <t>Customer</t>
        </is>
      </c>
      <c r="D1" t="inlineStr">
        <is>
          <t>Amount</t>
        </is>
      </c>
      <c r="E1" t="inlineStr">
        <is>
          <t>Why removed</t>
        </is>
      </c>
    </row>
    <row r="2">
      <c r="A2" t="inlineStr">
        <is>
          <t>INV-1030</t>
        </is>
      </c>
      <c r="B2" s="5" t="n">
        <v>46249</v>
      </c>
      <c r="C2" t="inlineStr">
        <is>
          <t>Oakridge Motors</t>
        </is>
      </c>
      <c r="D2" t="n">
        <v>2196.5</v>
      </c>
      <c r="E2" t="inlineStr">
        <is>
          <t>Same invoice number appears earlier</t>
        </is>
      </c>
    </row>
    <row r="3">
      <c r="A3" t="inlineStr">
        <is>
          <t>INV-1058</t>
        </is>
      </c>
      <c r="B3" s="5" t="n">
        <v>46219</v>
      </c>
      <c r="C3" t="inlineStr">
        <is>
          <t>Northgate Pharmacy</t>
        </is>
      </c>
      <c r="D3" t="n">
        <v>1160</v>
      </c>
      <c r="E3" t="inlineStr">
        <is>
          <t>Same invoice number appears earlier</t>
        </is>
      </c>
    </row>
    <row r="4">
      <c r="A4" t="inlineStr">
        <is>
          <t>INV-1043</t>
        </is>
      </c>
      <c r="B4" s="5" t="n">
        <v>46235</v>
      </c>
      <c r="C4" t="inlineStr">
        <is>
          <t>Parkside Dental</t>
        </is>
      </c>
      <c r="D4" t="n">
        <v>442.5</v>
      </c>
      <c r="E4" t="inlineStr">
        <is>
          <t>Same invoice number appears earlier</t>
        </is>
      </c>
    </row>
    <row r="5">
      <c r="A5" t="inlineStr">
        <is>
          <t>INV-1018</t>
        </is>
      </c>
      <c r="B5" s="5" t="n">
        <v>46277</v>
      </c>
      <c r="C5" t="inlineStr">
        <is>
          <t>Parkside Dental</t>
        </is>
      </c>
      <c r="D5" t="n">
        <v>2022</v>
      </c>
      <c r="E5" t="inlineStr">
        <is>
          <t>Same invoice number appears earlier</t>
        </is>
      </c>
    </row>
    <row r="6">
      <c r="A6" t="inlineStr">
        <is>
          <t>INV-1049</t>
        </is>
      </c>
      <c r="B6" s="5" t="n">
        <v>46236</v>
      </c>
      <c r="C6" t="inlineStr">
        <is>
          <t>Parkside Dental</t>
        </is>
      </c>
      <c r="D6" t="n">
        <v>611</v>
      </c>
      <c r="E6" t="inlineStr">
        <is>
          <t>Same invoice number appears earlier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2" t="inlineStr">
        <is>
          <t>Check</t>
        </is>
      </c>
      <c r="B1" t="inlineStr">
        <is>
          <t>Expected</t>
        </is>
      </c>
      <c r="C1" t="inlineStr">
        <is>
          <t>Actual</t>
        </is>
      </c>
      <c r="D1" t="inlineStr">
        <is>
          <t>OK?</t>
        </is>
      </c>
    </row>
    <row r="2">
      <c r="A2" t="inlineStr">
        <is>
          <t>Rows kept = raw rows - blanks - duplicates</t>
        </is>
      </c>
      <c r="B2" t="n">
        <v>60</v>
      </c>
      <c r="C2">
        <f>ROWS(Invoices!A2:A61)</f>
        <v/>
      </c>
      <c r="D2">
        <f>IF(B2=C2,"OK","CHECK")</f>
        <v/>
      </c>
    </row>
    <row r="3">
      <c r="A3" t="inlineStr">
        <is>
          <t>Customer totals add up to invoice total</t>
        </is>
      </c>
      <c r="B3" t="n">
        <v>80632.5</v>
      </c>
      <c r="C3">
        <f>Summary!B12</f>
        <v/>
      </c>
      <c r="D3">
        <f>IF(ABS(B3-C3)&lt;0.005,"OK","CHECK")</f>
        <v/>
      </c>
    </row>
    <row r="4">
      <c r="A4" t="inlineStr">
        <is>
          <t>Every status is Paid or Unpaid</t>
        </is>
      </c>
      <c r="B4" t="n">
        <v>0</v>
      </c>
      <c r="C4">
        <f>ROWS(Invoices!F2:F61)-COUNTIF(Invoices!F2:F61,"Paid")-COUNTIF(Invoices!F2:F61,"Unpaid")</f>
        <v/>
      </c>
      <c r="D4">
        <f>IF(B4=C4,"OK","CHECK")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2026-10-22T12:59:45Z</dcterms:created>
  <dcterms:modified xsi:type="dcterms:W3CDTF">2026-10-22T12:59:45Z</dcterms:modified>
</cp:coreProperties>
</file>